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000000000\01_Acadêmico\01 - IFSC\00 - Mercados de Energia\10 - Eficiência Energética\Trabalho 02\Entrega\ThermoPlex_MV_Entrega_v6\"/>
    </mc:Choice>
  </mc:AlternateContent>
  <xr:revisionPtr revIDLastSave="0" documentId="8_{56CA62C7-D7B9-49FD-88F6-A90A854F255A}" xr6:coauthVersionLast="47" xr6:coauthVersionMax="47" xr10:uidLastSave="{00000000-0000-0000-0000-000000000000}"/>
  <bookViews>
    <workbookView xWindow="28680" yWindow="795" windowWidth="29040" windowHeight="16440" tabRatio="893" xr2:uid="{00000000-000D-0000-FFFF-FFFF00000000}"/>
  </bookViews>
  <sheets>
    <sheet name="Resumo" sheetId="1" r:id="rId1"/>
    <sheet name="Ano 0 - Linha de Base" sheetId="2" r:id="rId2"/>
    <sheet name="Ano 1 - Pós-AEE" sheetId="3" r:id="rId3"/>
    <sheet name="4.1a Correlação" sheetId="4" r:id="rId4"/>
    <sheet name="4.1b Seleção" sheetId="5" r:id="rId5"/>
    <sheet name="4.1c Parsimônia" sheetId="6" r:id="rId6"/>
    <sheet name="4.1d Dependência Temp-UR" sheetId="7" r:id="rId7"/>
    <sheet name="4.2a Regressão Completa" sheetId="8" r:id="rId8"/>
    <sheet name="4.2b Filtragem" sheetId="9" r:id="rId9"/>
    <sheet name="4.2c Modelo Final" sheetId="10" r:id="rId10"/>
    <sheet name="4.3 Economia Evitada" sheetId="11" r:id="rId11"/>
    <sheet name="4.4 ANR" sheetId="12" r:id="rId12"/>
    <sheet name="Aux_X" sheetId="13" r:id="rId13"/>
  </sheets>
  <definedNames>
    <definedName name="alfa">Resumo!$C$26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8" i="13" l="1"/>
  <c r="AD58" i="13"/>
  <c r="AC58" i="13"/>
  <c r="Z58" i="13"/>
  <c r="Y58" i="13"/>
  <c r="X58" i="13"/>
  <c r="V58" i="13"/>
  <c r="U58" i="13"/>
  <c r="T58" i="13"/>
  <c r="R58" i="13"/>
  <c r="Q58" i="13"/>
  <c r="P58" i="13"/>
  <c r="O58" i="13"/>
  <c r="M58" i="13"/>
  <c r="L58" i="13"/>
  <c r="K58" i="13"/>
  <c r="J58" i="13"/>
  <c r="I58" i="13"/>
  <c r="G58" i="13"/>
  <c r="F58" i="13"/>
  <c r="E58" i="13"/>
  <c r="D58" i="13"/>
  <c r="C58" i="13"/>
  <c r="B58" i="13"/>
  <c r="AE57" i="13"/>
  <c r="AD57" i="13"/>
  <c r="AC57" i="13"/>
  <c r="Z57" i="13"/>
  <c r="Y57" i="13"/>
  <c r="X57" i="13"/>
  <c r="V57" i="13"/>
  <c r="U57" i="13"/>
  <c r="T57" i="13"/>
  <c r="R57" i="13"/>
  <c r="Q57" i="13"/>
  <c r="P57" i="13"/>
  <c r="O57" i="13"/>
  <c r="M57" i="13"/>
  <c r="L57" i="13"/>
  <c r="K57" i="13"/>
  <c r="J57" i="13"/>
  <c r="I57" i="13"/>
  <c r="G57" i="13"/>
  <c r="F57" i="13"/>
  <c r="E57" i="13"/>
  <c r="D57" i="13"/>
  <c r="C57" i="13"/>
  <c r="B57" i="13"/>
  <c r="AE56" i="13"/>
  <c r="AD56" i="13"/>
  <c r="AC56" i="13"/>
  <c r="Z56" i="13"/>
  <c r="Y56" i="13"/>
  <c r="X56" i="13"/>
  <c r="V56" i="13"/>
  <c r="U56" i="13"/>
  <c r="T56" i="13"/>
  <c r="R56" i="13"/>
  <c r="Q56" i="13"/>
  <c r="P56" i="13"/>
  <c r="O56" i="13"/>
  <c r="M56" i="13"/>
  <c r="L56" i="13"/>
  <c r="K56" i="13"/>
  <c r="J56" i="13"/>
  <c r="I56" i="13"/>
  <c r="G56" i="13"/>
  <c r="F56" i="13"/>
  <c r="E56" i="13"/>
  <c r="D56" i="13"/>
  <c r="C56" i="13"/>
  <c r="B56" i="13"/>
  <c r="AE55" i="13"/>
  <c r="AD55" i="13"/>
  <c r="AC55" i="13"/>
  <c r="Z55" i="13"/>
  <c r="Y55" i="13"/>
  <c r="X55" i="13"/>
  <c r="V55" i="13"/>
  <c r="U55" i="13"/>
  <c r="T55" i="13"/>
  <c r="R55" i="13"/>
  <c r="Q55" i="13"/>
  <c r="P55" i="13"/>
  <c r="O55" i="13"/>
  <c r="M55" i="13"/>
  <c r="L55" i="13"/>
  <c r="K55" i="13"/>
  <c r="J55" i="13"/>
  <c r="I55" i="13"/>
  <c r="G55" i="13"/>
  <c r="F55" i="13"/>
  <c r="E55" i="13"/>
  <c r="D55" i="13"/>
  <c r="C55" i="13"/>
  <c r="B55" i="13"/>
  <c r="AE54" i="13"/>
  <c r="AD54" i="13"/>
  <c r="AC54" i="13"/>
  <c r="Z54" i="13"/>
  <c r="Y54" i="13"/>
  <c r="X54" i="13"/>
  <c r="V54" i="13"/>
  <c r="U54" i="13"/>
  <c r="T54" i="13"/>
  <c r="R54" i="13"/>
  <c r="Q54" i="13"/>
  <c r="P54" i="13"/>
  <c r="O54" i="13"/>
  <c r="M54" i="13"/>
  <c r="L54" i="13"/>
  <c r="K54" i="13"/>
  <c r="J54" i="13"/>
  <c r="I54" i="13"/>
  <c r="G54" i="13"/>
  <c r="F54" i="13"/>
  <c r="E54" i="13"/>
  <c r="D54" i="13"/>
  <c r="C54" i="13"/>
  <c r="B54" i="13"/>
  <c r="AE53" i="13"/>
  <c r="AD53" i="13"/>
  <c r="AC53" i="13"/>
  <c r="Z53" i="13"/>
  <c r="Y53" i="13"/>
  <c r="X53" i="13"/>
  <c r="V53" i="13"/>
  <c r="U53" i="13"/>
  <c r="T53" i="13"/>
  <c r="R53" i="13"/>
  <c r="Q53" i="13"/>
  <c r="P53" i="13"/>
  <c r="O53" i="13"/>
  <c r="M53" i="13"/>
  <c r="L53" i="13"/>
  <c r="K53" i="13"/>
  <c r="J53" i="13"/>
  <c r="I53" i="13"/>
  <c r="G53" i="13"/>
  <c r="F53" i="13"/>
  <c r="E53" i="13"/>
  <c r="D53" i="13"/>
  <c r="C53" i="13"/>
  <c r="B53" i="13"/>
  <c r="AE52" i="13"/>
  <c r="AD52" i="13"/>
  <c r="AC52" i="13"/>
  <c r="Z52" i="13"/>
  <c r="Y52" i="13"/>
  <c r="X52" i="13"/>
  <c r="V52" i="13"/>
  <c r="U52" i="13"/>
  <c r="T52" i="13"/>
  <c r="R52" i="13"/>
  <c r="Q52" i="13"/>
  <c r="P52" i="13"/>
  <c r="O52" i="13"/>
  <c r="M52" i="13"/>
  <c r="L52" i="13"/>
  <c r="K52" i="13"/>
  <c r="J52" i="13"/>
  <c r="I52" i="13"/>
  <c r="G52" i="13"/>
  <c r="F52" i="13"/>
  <c r="E52" i="13"/>
  <c r="D52" i="13"/>
  <c r="C52" i="13"/>
  <c r="B52" i="13"/>
  <c r="AE51" i="13"/>
  <c r="AD51" i="13"/>
  <c r="AC51" i="13"/>
  <c r="Z51" i="13"/>
  <c r="Y51" i="13"/>
  <c r="X51" i="13"/>
  <c r="V51" i="13"/>
  <c r="U51" i="13"/>
  <c r="T51" i="13"/>
  <c r="R51" i="13"/>
  <c r="Q51" i="13"/>
  <c r="P51" i="13"/>
  <c r="O51" i="13"/>
  <c r="M51" i="13"/>
  <c r="L51" i="13"/>
  <c r="K51" i="13"/>
  <c r="J51" i="13"/>
  <c r="I51" i="13"/>
  <c r="G51" i="13"/>
  <c r="F51" i="13"/>
  <c r="E51" i="13"/>
  <c r="D51" i="13"/>
  <c r="C51" i="13"/>
  <c r="B51" i="13"/>
  <c r="AE50" i="13"/>
  <c r="AD50" i="13"/>
  <c r="AC50" i="13"/>
  <c r="Z50" i="13"/>
  <c r="Y50" i="13"/>
  <c r="X50" i="13"/>
  <c r="V50" i="13"/>
  <c r="U50" i="13"/>
  <c r="T50" i="13"/>
  <c r="R50" i="13"/>
  <c r="Q50" i="13"/>
  <c r="P50" i="13"/>
  <c r="O50" i="13"/>
  <c r="M50" i="13"/>
  <c r="L50" i="13"/>
  <c r="K50" i="13"/>
  <c r="J50" i="13"/>
  <c r="I50" i="13"/>
  <c r="G50" i="13"/>
  <c r="F50" i="13"/>
  <c r="E50" i="13"/>
  <c r="D50" i="13"/>
  <c r="C50" i="13"/>
  <c r="B50" i="13"/>
  <c r="AE49" i="13"/>
  <c r="AD49" i="13"/>
  <c r="AC49" i="13"/>
  <c r="Z49" i="13"/>
  <c r="Y49" i="13"/>
  <c r="X49" i="13"/>
  <c r="V49" i="13"/>
  <c r="U49" i="13"/>
  <c r="T49" i="13"/>
  <c r="R49" i="13"/>
  <c r="Q49" i="13"/>
  <c r="P49" i="13"/>
  <c r="O49" i="13"/>
  <c r="M49" i="13"/>
  <c r="L49" i="13"/>
  <c r="K49" i="13"/>
  <c r="J49" i="13"/>
  <c r="I49" i="13"/>
  <c r="G49" i="13"/>
  <c r="F49" i="13"/>
  <c r="E49" i="13"/>
  <c r="D49" i="13"/>
  <c r="C49" i="13"/>
  <c r="B49" i="13"/>
  <c r="AE48" i="13"/>
  <c r="AD48" i="13"/>
  <c r="AC48" i="13"/>
  <c r="Z48" i="13"/>
  <c r="Y48" i="13"/>
  <c r="X48" i="13"/>
  <c r="V48" i="13"/>
  <c r="U48" i="13"/>
  <c r="T48" i="13"/>
  <c r="R48" i="13"/>
  <c r="Q48" i="13"/>
  <c r="P48" i="13"/>
  <c r="O48" i="13"/>
  <c r="M48" i="13"/>
  <c r="L48" i="13"/>
  <c r="K48" i="13"/>
  <c r="J48" i="13"/>
  <c r="I48" i="13"/>
  <c r="G48" i="13"/>
  <c r="F48" i="13"/>
  <c r="E48" i="13"/>
  <c r="D48" i="13"/>
  <c r="C48" i="13"/>
  <c r="B48" i="13"/>
  <c r="AE47" i="13"/>
  <c r="AD47" i="13"/>
  <c r="AC47" i="13"/>
  <c r="Z47" i="13"/>
  <c r="Y47" i="13"/>
  <c r="X47" i="13"/>
  <c r="V47" i="13"/>
  <c r="U47" i="13"/>
  <c r="T47" i="13"/>
  <c r="R47" i="13"/>
  <c r="Q47" i="13"/>
  <c r="P47" i="13"/>
  <c r="O47" i="13"/>
  <c r="M47" i="13"/>
  <c r="L47" i="13"/>
  <c r="K47" i="13"/>
  <c r="J47" i="13"/>
  <c r="I47" i="13"/>
  <c r="G47" i="13"/>
  <c r="F47" i="13"/>
  <c r="E47" i="13"/>
  <c r="D47" i="13"/>
  <c r="C47" i="13"/>
  <c r="B47" i="13"/>
  <c r="AE46" i="13"/>
  <c r="AD46" i="13"/>
  <c r="AC46" i="13"/>
  <c r="Z46" i="13"/>
  <c r="Y46" i="13"/>
  <c r="X46" i="13"/>
  <c r="V46" i="13"/>
  <c r="U46" i="13"/>
  <c r="T46" i="13"/>
  <c r="R46" i="13"/>
  <c r="Q46" i="13"/>
  <c r="P46" i="13"/>
  <c r="O46" i="13"/>
  <c r="M46" i="13"/>
  <c r="L46" i="13"/>
  <c r="K46" i="13"/>
  <c r="J46" i="13"/>
  <c r="I46" i="13"/>
  <c r="G46" i="13"/>
  <c r="F46" i="13"/>
  <c r="E46" i="13"/>
  <c r="D46" i="13"/>
  <c r="C46" i="13"/>
  <c r="B46" i="13"/>
  <c r="AE45" i="13"/>
  <c r="AD45" i="13"/>
  <c r="AC45" i="13"/>
  <c r="Z45" i="13"/>
  <c r="Y45" i="13"/>
  <c r="X45" i="13"/>
  <c r="V45" i="13"/>
  <c r="U45" i="13"/>
  <c r="T45" i="13"/>
  <c r="R45" i="13"/>
  <c r="Q45" i="13"/>
  <c r="P45" i="13"/>
  <c r="O45" i="13"/>
  <c r="M45" i="13"/>
  <c r="L45" i="13"/>
  <c r="K45" i="13"/>
  <c r="J45" i="13"/>
  <c r="I45" i="13"/>
  <c r="G45" i="13"/>
  <c r="F45" i="13"/>
  <c r="E45" i="13"/>
  <c r="D45" i="13"/>
  <c r="C45" i="13"/>
  <c r="B45" i="13"/>
  <c r="AE44" i="13"/>
  <c r="AD44" i="13"/>
  <c r="AC44" i="13"/>
  <c r="Z44" i="13"/>
  <c r="Y44" i="13"/>
  <c r="X44" i="13"/>
  <c r="V44" i="13"/>
  <c r="U44" i="13"/>
  <c r="T44" i="13"/>
  <c r="R44" i="13"/>
  <c r="Q44" i="13"/>
  <c r="P44" i="13"/>
  <c r="O44" i="13"/>
  <c r="M44" i="13"/>
  <c r="L44" i="13"/>
  <c r="K44" i="13"/>
  <c r="J44" i="13"/>
  <c r="I44" i="13"/>
  <c r="G44" i="13"/>
  <c r="F44" i="13"/>
  <c r="E44" i="13"/>
  <c r="D44" i="13"/>
  <c r="C44" i="13"/>
  <c r="B44" i="13"/>
  <c r="AE43" i="13"/>
  <c r="AD43" i="13"/>
  <c r="AC43" i="13"/>
  <c r="Z43" i="13"/>
  <c r="Y43" i="13"/>
  <c r="X43" i="13"/>
  <c r="V43" i="13"/>
  <c r="U43" i="13"/>
  <c r="T43" i="13"/>
  <c r="R43" i="13"/>
  <c r="Q43" i="13"/>
  <c r="P43" i="13"/>
  <c r="O43" i="13"/>
  <c r="M43" i="13"/>
  <c r="L43" i="13"/>
  <c r="K43" i="13"/>
  <c r="J43" i="13"/>
  <c r="I43" i="13"/>
  <c r="G43" i="13"/>
  <c r="F43" i="13"/>
  <c r="E43" i="13"/>
  <c r="D43" i="13"/>
  <c r="C43" i="13"/>
  <c r="B43" i="13"/>
  <c r="AE42" i="13"/>
  <c r="AD42" i="13"/>
  <c r="AC42" i="13"/>
  <c r="Z42" i="13"/>
  <c r="Y42" i="13"/>
  <c r="X42" i="13"/>
  <c r="V42" i="13"/>
  <c r="U42" i="13"/>
  <c r="T42" i="13"/>
  <c r="R42" i="13"/>
  <c r="Q42" i="13"/>
  <c r="P42" i="13"/>
  <c r="O42" i="13"/>
  <c r="M42" i="13"/>
  <c r="L42" i="13"/>
  <c r="K42" i="13"/>
  <c r="J42" i="13"/>
  <c r="I42" i="13"/>
  <c r="G42" i="13"/>
  <c r="F42" i="13"/>
  <c r="E42" i="13"/>
  <c r="D42" i="13"/>
  <c r="C42" i="13"/>
  <c r="B42" i="13"/>
  <c r="AE41" i="13"/>
  <c r="AD41" i="13"/>
  <c r="AC41" i="13"/>
  <c r="Z41" i="13"/>
  <c r="Y41" i="13"/>
  <c r="X41" i="13"/>
  <c r="V41" i="13"/>
  <c r="U41" i="13"/>
  <c r="T41" i="13"/>
  <c r="R41" i="13"/>
  <c r="Q41" i="13"/>
  <c r="P41" i="13"/>
  <c r="O41" i="13"/>
  <c r="M41" i="13"/>
  <c r="L41" i="13"/>
  <c r="K41" i="13"/>
  <c r="J41" i="13"/>
  <c r="I41" i="13"/>
  <c r="G41" i="13"/>
  <c r="F41" i="13"/>
  <c r="E41" i="13"/>
  <c r="D41" i="13"/>
  <c r="C41" i="13"/>
  <c r="B41" i="13"/>
  <c r="AE40" i="13"/>
  <c r="AD40" i="13"/>
  <c r="AC40" i="13"/>
  <c r="Z40" i="13"/>
  <c r="Y40" i="13"/>
  <c r="X40" i="13"/>
  <c r="V40" i="13"/>
  <c r="U40" i="13"/>
  <c r="T40" i="13"/>
  <c r="R40" i="13"/>
  <c r="Q40" i="13"/>
  <c r="P40" i="13"/>
  <c r="O40" i="13"/>
  <c r="M40" i="13"/>
  <c r="L40" i="13"/>
  <c r="K40" i="13"/>
  <c r="J40" i="13"/>
  <c r="I40" i="13"/>
  <c r="G40" i="13"/>
  <c r="F40" i="13"/>
  <c r="E40" i="13"/>
  <c r="D40" i="13"/>
  <c r="C40" i="13"/>
  <c r="B40" i="13"/>
  <c r="AE39" i="13"/>
  <c r="AD39" i="13"/>
  <c r="AC39" i="13"/>
  <c r="Z39" i="13"/>
  <c r="Y39" i="13"/>
  <c r="X39" i="13"/>
  <c r="V39" i="13"/>
  <c r="U39" i="13"/>
  <c r="T39" i="13"/>
  <c r="R39" i="13"/>
  <c r="Q39" i="13"/>
  <c r="P39" i="13"/>
  <c r="O39" i="13"/>
  <c r="M39" i="13"/>
  <c r="L39" i="13"/>
  <c r="K39" i="13"/>
  <c r="J39" i="13"/>
  <c r="I39" i="13"/>
  <c r="G39" i="13"/>
  <c r="F39" i="13"/>
  <c r="E39" i="13"/>
  <c r="D39" i="13"/>
  <c r="C39" i="13"/>
  <c r="B39" i="13"/>
  <c r="AE38" i="13"/>
  <c r="AD38" i="13"/>
  <c r="AC38" i="13"/>
  <c r="Z38" i="13"/>
  <c r="Y38" i="13"/>
  <c r="X38" i="13"/>
  <c r="V38" i="13"/>
  <c r="U38" i="13"/>
  <c r="T38" i="13"/>
  <c r="R38" i="13"/>
  <c r="Q38" i="13"/>
  <c r="P38" i="13"/>
  <c r="O38" i="13"/>
  <c r="M38" i="13"/>
  <c r="L38" i="13"/>
  <c r="K38" i="13"/>
  <c r="J38" i="13"/>
  <c r="I38" i="13"/>
  <c r="G38" i="13"/>
  <c r="F38" i="13"/>
  <c r="E38" i="13"/>
  <c r="D38" i="13"/>
  <c r="C38" i="13"/>
  <c r="B38" i="13"/>
  <c r="AE37" i="13"/>
  <c r="AD37" i="13"/>
  <c r="AC37" i="13"/>
  <c r="Z37" i="13"/>
  <c r="Y37" i="13"/>
  <c r="X37" i="13"/>
  <c r="V37" i="13"/>
  <c r="U37" i="13"/>
  <c r="T37" i="13"/>
  <c r="R37" i="13"/>
  <c r="Q37" i="13"/>
  <c r="P37" i="13"/>
  <c r="O37" i="13"/>
  <c r="M37" i="13"/>
  <c r="L37" i="13"/>
  <c r="K37" i="13"/>
  <c r="J37" i="13"/>
  <c r="I37" i="13"/>
  <c r="G37" i="13"/>
  <c r="F37" i="13"/>
  <c r="E37" i="13"/>
  <c r="D37" i="13"/>
  <c r="C37" i="13"/>
  <c r="B37" i="13"/>
  <c r="AE36" i="13"/>
  <c r="AD36" i="13"/>
  <c r="AC36" i="13"/>
  <c r="Z36" i="13"/>
  <c r="Y36" i="13"/>
  <c r="X36" i="13"/>
  <c r="V36" i="13"/>
  <c r="U36" i="13"/>
  <c r="T36" i="13"/>
  <c r="R36" i="13"/>
  <c r="Q36" i="13"/>
  <c r="P36" i="13"/>
  <c r="O36" i="13"/>
  <c r="M36" i="13"/>
  <c r="L36" i="13"/>
  <c r="K36" i="13"/>
  <c r="J36" i="13"/>
  <c r="I36" i="13"/>
  <c r="G36" i="13"/>
  <c r="F36" i="13"/>
  <c r="E36" i="13"/>
  <c r="D36" i="13"/>
  <c r="C36" i="13"/>
  <c r="B36" i="13"/>
  <c r="AE35" i="13"/>
  <c r="AD35" i="13"/>
  <c r="AC35" i="13"/>
  <c r="Z35" i="13"/>
  <c r="Y35" i="13"/>
  <c r="X35" i="13"/>
  <c r="V35" i="13"/>
  <c r="U35" i="13"/>
  <c r="T35" i="13"/>
  <c r="R35" i="13"/>
  <c r="Q35" i="13"/>
  <c r="P35" i="13"/>
  <c r="O35" i="13"/>
  <c r="M35" i="13"/>
  <c r="L35" i="13"/>
  <c r="K35" i="13"/>
  <c r="J35" i="13"/>
  <c r="I35" i="13"/>
  <c r="G35" i="13"/>
  <c r="F35" i="13"/>
  <c r="E35" i="13"/>
  <c r="D35" i="13"/>
  <c r="C35" i="13"/>
  <c r="B35" i="13"/>
  <c r="AE34" i="13"/>
  <c r="AD34" i="13"/>
  <c r="AC34" i="13"/>
  <c r="Z34" i="13"/>
  <c r="Y34" i="13"/>
  <c r="X34" i="13"/>
  <c r="V34" i="13"/>
  <c r="U34" i="13"/>
  <c r="T34" i="13"/>
  <c r="R34" i="13"/>
  <c r="Q34" i="13"/>
  <c r="P34" i="13"/>
  <c r="O34" i="13"/>
  <c r="M34" i="13"/>
  <c r="L34" i="13"/>
  <c r="K34" i="13"/>
  <c r="J34" i="13"/>
  <c r="I34" i="13"/>
  <c r="G34" i="13"/>
  <c r="F34" i="13"/>
  <c r="E34" i="13"/>
  <c r="D34" i="13"/>
  <c r="C34" i="13"/>
  <c r="B34" i="13"/>
  <c r="AE33" i="13"/>
  <c r="AD33" i="13"/>
  <c r="AC33" i="13"/>
  <c r="Z33" i="13"/>
  <c r="Y33" i="13"/>
  <c r="X33" i="13"/>
  <c r="V33" i="13"/>
  <c r="U33" i="13"/>
  <c r="T33" i="13"/>
  <c r="R33" i="13"/>
  <c r="Q33" i="13"/>
  <c r="P33" i="13"/>
  <c r="O33" i="13"/>
  <c r="M33" i="13"/>
  <c r="L33" i="13"/>
  <c r="K33" i="13"/>
  <c r="J33" i="13"/>
  <c r="I33" i="13"/>
  <c r="G33" i="13"/>
  <c r="F33" i="13"/>
  <c r="E33" i="13"/>
  <c r="D33" i="13"/>
  <c r="C33" i="13"/>
  <c r="B33" i="13"/>
  <c r="AE32" i="13"/>
  <c r="AD32" i="13"/>
  <c r="AC32" i="13"/>
  <c r="Z32" i="13"/>
  <c r="Y32" i="13"/>
  <c r="X32" i="13"/>
  <c r="V32" i="13"/>
  <c r="U32" i="13"/>
  <c r="T32" i="13"/>
  <c r="R32" i="13"/>
  <c r="Q32" i="13"/>
  <c r="P32" i="13"/>
  <c r="O32" i="13"/>
  <c r="M32" i="13"/>
  <c r="L32" i="13"/>
  <c r="K32" i="13"/>
  <c r="J32" i="13"/>
  <c r="I32" i="13"/>
  <c r="G32" i="13"/>
  <c r="F32" i="13"/>
  <c r="E32" i="13"/>
  <c r="D32" i="13"/>
  <c r="C32" i="13"/>
  <c r="B32" i="13"/>
  <c r="AE31" i="13"/>
  <c r="AD31" i="13"/>
  <c r="AC31" i="13"/>
  <c r="Z31" i="13"/>
  <c r="Y31" i="13"/>
  <c r="X31" i="13"/>
  <c r="V31" i="13"/>
  <c r="U31" i="13"/>
  <c r="T31" i="13"/>
  <c r="R31" i="13"/>
  <c r="Q31" i="13"/>
  <c r="P31" i="13"/>
  <c r="O31" i="13"/>
  <c r="M31" i="13"/>
  <c r="L31" i="13"/>
  <c r="K31" i="13"/>
  <c r="J31" i="13"/>
  <c r="I31" i="13"/>
  <c r="G31" i="13"/>
  <c r="F31" i="13"/>
  <c r="E31" i="13"/>
  <c r="D31" i="13"/>
  <c r="C31" i="13"/>
  <c r="B31" i="13"/>
  <c r="AE30" i="13"/>
  <c r="AD30" i="13"/>
  <c r="AC30" i="13"/>
  <c r="Z30" i="13"/>
  <c r="Y30" i="13"/>
  <c r="X30" i="13"/>
  <c r="V30" i="13"/>
  <c r="U30" i="13"/>
  <c r="T30" i="13"/>
  <c r="R30" i="13"/>
  <c r="Q30" i="13"/>
  <c r="P30" i="13"/>
  <c r="O30" i="13"/>
  <c r="M30" i="13"/>
  <c r="L30" i="13"/>
  <c r="K30" i="13"/>
  <c r="J30" i="13"/>
  <c r="I30" i="13"/>
  <c r="G30" i="13"/>
  <c r="F30" i="13"/>
  <c r="E30" i="13"/>
  <c r="D30" i="13"/>
  <c r="C30" i="13"/>
  <c r="B30" i="13"/>
  <c r="AE29" i="13"/>
  <c r="AD29" i="13"/>
  <c r="AC29" i="13"/>
  <c r="Z29" i="13"/>
  <c r="Y29" i="13"/>
  <c r="X29" i="13"/>
  <c r="V29" i="13"/>
  <c r="U29" i="13"/>
  <c r="T29" i="13"/>
  <c r="R29" i="13"/>
  <c r="Q29" i="13"/>
  <c r="P29" i="13"/>
  <c r="O29" i="13"/>
  <c r="M29" i="13"/>
  <c r="L29" i="13"/>
  <c r="K29" i="13"/>
  <c r="J29" i="13"/>
  <c r="I29" i="13"/>
  <c r="G29" i="13"/>
  <c r="F29" i="13"/>
  <c r="E29" i="13"/>
  <c r="D29" i="13"/>
  <c r="C29" i="13"/>
  <c r="B29" i="13"/>
  <c r="AE28" i="13"/>
  <c r="AD28" i="13"/>
  <c r="AC28" i="13"/>
  <c r="Z28" i="13"/>
  <c r="Y28" i="13"/>
  <c r="X28" i="13"/>
  <c r="V28" i="13"/>
  <c r="U28" i="13"/>
  <c r="T28" i="13"/>
  <c r="R28" i="13"/>
  <c r="Q28" i="13"/>
  <c r="P28" i="13"/>
  <c r="O28" i="13"/>
  <c r="M28" i="13"/>
  <c r="L28" i="13"/>
  <c r="K28" i="13"/>
  <c r="J28" i="13"/>
  <c r="I28" i="13"/>
  <c r="G28" i="13"/>
  <c r="F28" i="13"/>
  <c r="E28" i="13"/>
  <c r="D28" i="13"/>
  <c r="C28" i="13"/>
  <c r="B28" i="13"/>
  <c r="AE27" i="13"/>
  <c r="AD27" i="13"/>
  <c r="AC27" i="13"/>
  <c r="Z27" i="13"/>
  <c r="Y27" i="13"/>
  <c r="X27" i="13"/>
  <c r="V27" i="13"/>
  <c r="U27" i="13"/>
  <c r="T27" i="13"/>
  <c r="R27" i="13"/>
  <c r="Q27" i="13"/>
  <c r="P27" i="13"/>
  <c r="O27" i="13"/>
  <c r="M27" i="13"/>
  <c r="L27" i="13"/>
  <c r="K27" i="13"/>
  <c r="J27" i="13"/>
  <c r="I27" i="13"/>
  <c r="G27" i="13"/>
  <c r="F27" i="13"/>
  <c r="E27" i="13"/>
  <c r="D27" i="13"/>
  <c r="C27" i="13"/>
  <c r="B27" i="13"/>
  <c r="AE26" i="13"/>
  <c r="AD26" i="13"/>
  <c r="AC26" i="13"/>
  <c r="Z26" i="13"/>
  <c r="Y26" i="13"/>
  <c r="X26" i="13"/>
  <c r="V26" i="13"/>
  <c r="U26" i="13"/>
  <c r="T26" i="13"/>
  <c r="R26" i="13"/>
  <c r="Q26" i="13"/>
  <c r="P26" i="13"/>
  <c r="O26" i="13"/>
  <c r="M26" i="13"/>
  <c r="L26" i="13"/>
  <c r="K26" i="13"/>
  <c r="J26" i="13"/>
  <c r="I26" i="13"/>
  <c r="G26" i="13"/>
  <c r="F26" i="13"/>
  <c r="E26" i="13"/>
  <c r="D26" i="13"/>
  <c r="C26" i="13"/>
  <c r="B26" i="13"/>
  <c r="AE25" i="13"/>
  <c r="AD25" i="13"/>
  <c r="AC25" i="13"/>
  <c r="Z25" i="13"/>
  <c r="Y25" i="13"/>
  <c r="X25" i="13"/>
  <c r="V25" i="13"/>
  <c r="U25" i="13"/>
  <c r="T25" i="13"/>
  <c r="R25" i="13"/>
  <c r="Q25" i="13"/>
  <c r="P25" i="13"/>
  <c r="O25" i="13"/>
  <c r="M25" i="13"/>
  <c r="L25" i="13"/>
  <c r="K25" i="13"/>
  <c r="J25" i="13"/>
  <c r="I25" i="13"/>
  <c r="G25" i="13"/>
  <c r="F25" i="13"/>
  <c r="E25" i="13"/>
  <c r="D25" i="13"/>
  <c r="C25" i="13"/>
  <c r="B25" i="13"/>
  <c r="AE24" i="13"/>
  <c r="AD24" i="13"/>
  <c r="AC24" i="13"/>
  <c r="Z24" i="13"/>
  <c r="Y24" i="13"/>
  <c r="X24" i="13"/>
  <c r="V24" i="13"/>
  <c r="U24" i="13"/>
  <c r="T24" i="13"/>
  <c r="R24" i="13"/>
  <c r="Q24" i="13"/>
  <c r="P24" i="13"/>
  <c r="O24" i="13"/>
  <c r="M24" i="13"/>
  <c r="L24" i="13"/>
  <c r="K24" i="13"/>
  <c r="J24" i="13"/>
  <c r="I24" i="13"/>
  <c r="G24" i="13"/>
  <c r="F24" i="13"/>
  <c r="E24" i="13"/>
  <c r="D24" i="13"/>
  <c r="C24" i="13"/>
  <c r="B24" i="13"/>
  <c r="AE23" i="13"/>
  <c r="AD23" i="13"/>
  <c r="AC23" i="13"/>
  <c r="Z23" i="13"/>
  <c r="Y23" i="13"/>
  <c r="X23" i="13"/>
  <c r="V23" i="13"/>
  <c r="U23" i="13"/>
  <c r="T23" i="13"/>
  <c r="R23" i="13"/>
  <c r="Q23" i="13"/>
  <c r="P23" i="13"/>
  <c r="O23" i="13"/>
  <c r="M23" i="13"/>
  <c r="L23" i="13"/>
  <c r="K23" i="13"/>
  <c r="J23" i="13"/>
  <c r="I23" i="13"/>
  <c r="G23" i="13"/>
  <c r="F23" i="13"/>
  <c r="E23" i="13"/>
  <c r="D23" i="13"/>
  <c r="C23" i="13"/>
  <c r="B23" i="13"/>
  <c r="AE22" i="13"/>
  <c r="AD22" i="13"/>
  <c r="AC22" i="13"/>
  <c r="Z22" i="13"/>
  <c r="Y22" i="13"/>
  <c r="X22" i="13"/>
  <c r="V22" i="13"/>
  <c r="U22" i="13"/>
  <c r="T22" i="13"/>
  <c r="R22" i="13"/>
  <c r="Q22" i="13"/>
  <c r="P22" i="13"/>
  <c r="O22" i="13"/>
  <c r="M22" i="13"/>
  <c r="L22" i="13"/>
  <c r="K22" i="13"/>
  <c r="J22" i="13"/>
  <c r="I22" i="13"/>
  <c r="G22" i="13"/>
  <c r="F22" i="13"/>
  <c r="E22" i="13"/>
  <c r="D22" i="13"/>
  <c r="C22" i="13"/>
  <c r="B22" i="13"/>
  <c r="AE21" i="13"/>
  <c r="AD21" i="13"/>
  <c r="AC21" i="13"/>
  <c r="Z21" i="13"/>
  <c r="Y21" i="13"/>
  <c r="X21" i="13"/>
  <c r="V21" i="13"/>
  <c r="U21" i="13"/>
  <c r="T21" i="13"/>
  <c r="R21" i="13"/>
  <c r="Q21" i="13"/>
  <c r="P21" i="13"/>
  <c r="O21" i="13"/>
  <c r="M21" i="13"/>
  <c r="L21" i="13"/>
  <c r="K21" i="13"/>
  <c r="J21" i="13"/>
  <c r="I21" i="13"/>
  <c r="G21" i="13"/>
  <c r="F21" i="13"/>
  <c r="E21" i="13"/>
  <c r="D21" i="13"/>
  <c r="C21" i="13"/>
  <c r="B21" i="13"/>
  <c r="AE20" i="13"/>
  <c r="AD20" i="13"/>
  <c r="AC20" i="13"/>
  <c r="Z20" i="13"/>
  <c r="Y20" i="13"/>
  <c r="X20" i="13"/>
  <c r="V20" i="13"/>
  <c r="U20" i="13"/>
  <c r="T20" i="13"/>
  <c r="R20" i="13"/>
  <c r="Q20" i="13"/>
  <c r="P20" i="13"/>
  <c r="O20" i="13"/>
  <c r="M20" i="13"/>
  <c r="L20" i="13"/>
  <c r="K20" i="13"/>
  <c r="J20" i="13"/>
  <c r="I20" i="13"/>
  <c r="G20" i="13"/>
  <c r="F20" i="13"/>
  <c r="E20" i="13"/>
  <c r="D20" i="13"/>
  <c r="C20" i="13"/>
  <c r="B20" i="13"/>
  <c r="AE19" i="13"/>
  <c r="AD19" i="13"/>
  <c r="AC19" i="13"/>
  <c r="Z19" i="13"/>
  <c r="Y19" i="13"/>
  <c r="X19" i="13"/>
  <c r="V19" i="13"/>
  <c r="U19" i="13"/>
  <c r="T19" i="13"/>
  <c r="R19" i="13"/>
  <c r="Q19" i="13"/>
  <c r="P19" i="13"/>
  <c r="O19" i="13"/>
  <c r="M19" i="13"/>
  <c r="L19" i="13"/>
  <c r="K19" i="13"/>
  <c r="J19" i="13"/>
  <c r="I19" i="13"/>
  <c r="G19" i="13"/>
  <c r="F19" i="13"/>
  <c r="E19" i="13"/>
  <c r="D19" i="13"/>
  <c r="C19" i="13"/>
  <c r="B19" i="13"/>
  <c r="AE18" i="13"/>
  <c r="AD18" i="13"/>
  <c r="AC18" i="13"/>
  <c r="Z18" i="13"/>
  <c r="Y18" i="13"/>
  <c r="X18" i="13"/>
  <c r="V18" i="13"/>
  <c r="U18" i="13"/>
  <c r="T18" i="13"/>
  <c r="R18" i="13"/>
  <c r="Q18" i="13"/>
  <c r="P18" i="13"/>
  <c r="O18" i="13"/>
  <c r="M18" i="13"/>
  <c r="L18" i="13"/>
  <c r="K18" i="13"/>
  <c r="J18" i="13"/>
  <c r="I18" i="13"/>
  <c r="G18" i="13"/>
  <c r="F18" i="13"/>
  <c r="E18" i="13"/>
  <c r="D18" i="13"/>
  <c r="C18" i="13"/>
  <c r="B18" i="13"/>
  <c r="AE17" i="13"/>
  <c r="AD17" i="13"/>
  <c r="AC17" i="13"/>
  <c r="Z17" i="13"/>
  <c r="Y17" i="13"/>
  <c r="X17" i="13"/>
  <c r="V17" i="13"/>
  <c r="U17" i="13"/>
  <c r="T17" i="13"/>
  <c r="R17" i="13"/>
  <c r="Q17" i="13"/>
  <c r="P17" i="13"/>
  <c r="O17" i="13"/>
  <c r="M17" i="13"/>
  <c r="L17" i="13"/>
  <c r="K17" i="13"/>
  <c r="J17" i="13"/>
  <c r="I17" i="13"/>
  <c r="G17" i="13"/>
  <c r="F17" i="13"/>
  <c r="E17" i="13"/>
  <c r="D17" i="13"/>
  <c r="C17" i="13"/>
  <c r="B17" i="13"/>
  <c r="AE16" i="13"/>
  <c r="AD16" i="13"/>
  <c r="AC16" i="13"/>
  <c r="Z16" i="13"/>
  <c r="Y16" i="13"/>
  <c r="X16" i="13"/>
  <c r="V16" i="13"/>
  <c r="U16" i="13"/>
  <c r="T16" i="13"/>
  <c r="R16" i="13"/>
  <c r="Q16" i="13"/>
  <c r="P16" i="13"/>
  <c r="O16" i="13"/>
  <c r="M16" i="13"/>
  <c r="L16" i="13"/>
  <c r="K16" i="13"/>
  <c r="J16" i="13"/>
  <c r="I16" i="13"/>
  <c r="G16" i="13"/>
  <c r="F16" i="13"/>
  <c r="E16" i="13"/>
  <c r="D16" i="13"/>
  <c r="C16" i="13"/>
  <c r="B16" i="13"/>
  <c r="AE15" i="13"/>
  <c r="AD15" i="13"/>
  <c r="AC15" i="13"/>
  <c r="Z15" i="13"/>
  <c r="Y15" i="13"/>
  <c r="X15" i="13"/>
  <c r="V15" i="13"/>
  <c r="U15" i="13"/>
  <c r="T15" i="13"/>
  <c r="R15" i="13"/>
  <c r="Q15" i="13"/>
  <c r="P15" i="13"/>
  <c r="O15" i="13"/>
  <c r="M15" i="13"/>
  <c r="L15" i="13"/>
  <c r="K15" i="13"/>
  <c r="J15" i="13"/>
  <c r="I15" i="13"/>
  <c r="G15" i="13"/>
  <c r="F15" i="13"/>
  <c r="E15" i="13"/>
  <c r="D15" i="13"/>
  <c r="C15" i="13"/>
  <c r="B15" i="13"/>
  <c r="AE14" i="13"/>
  <c r="AD14" i="13"/>
  <c r="AC14" i="13"/>
  <c r="Z14" i="13"/>
  <c r="Y14" i="13"/>
  <c r="X14" i="13"/>
  <c r="V14" i="13"/>
  <c r="U14" i="13"/>
  <c r="T14" i="13"/>
  <c r="R14" i="13"/>
  <c r="Q14" i="13"/>
  <c r="P14" i="13"/>
  <c r="O14" i="13"/>
  <c r="M14" i="13"/>
  <c r="L14" i="13"/>
  <c r="K14" i="13"/>
  <c r="J14" i="13"/>
  <c r="I14" i="13"/>
  <c r="G14" i="13"/>
  <c r="F14" i="13"/>
  <c r="E14" i="13"/>
  <c r="D14" i="13"/>
  <c r="C14" i="13"/>
  <c r="B14" i="13"/>
  <c r="AE13" i="13"/>
  <c r="AD13" i="13"/>
  <c r="AC13" i="13"/>
  <c r="Z13" i="13"/>
  <c r="Y13" i="13"/>
  <c r="X13" i="13"/>
  <c r="V13" i="13"/>
  <c r="U13" i="13"/>
  <c r="T13" i="13"/>
  <c r="R13" i="13"/>
  <c r="Q13" i="13"/>
  <c r="P13" i="13"/>
  <c r="O13" i="13"/>
  <c r="M13" i="13"/>
  <c r="L13" i="13"/>
  <c r="K13" i="13"/>
  <c r="J13" i="13"/>
  <c r="I13" i="13"/>
  <c r="G13" i="13"/>
  <c r="F13" i="13"/>
  <c r="E13" i="13"/>
  <c r="D13" i="13"/>
  <c r="C13" i="13"/>
  <c r="B13" i="13"/>
  <c r="AE12" i="13"/>
  <c r="AD12" i="13"/>
  <c r="AC12" i="13"/>
  <c r="Z12" i="13"/>
  <c r="Y12" i="13"/>
  <c r="X12" i="13"/>
  <c r="V12" i="13"/>
  <c r="U12" i="13"/>
  <c r="T12" i="13"/>
  <c r="R12" i="13"/>
  <c r="Q12" i="13"/>
  <c r="P12" i="13"/>
  <c r="O12" i="13"/>
  <c r="M12" i="13"/>
  <c r="L12" i="13"/>
  <c r="K12" i="13"/>
  <c r="J12" i="13"/>
  <c r="I12" i="13"/>
  <c r="G12" i="13"/>
  <c r="F12" i="13"/>
  <c r="E12" i="13"/>
  <c r="D12" i="13"/>
  <c r="C12" i="13"/>
  <c r="B12" i="13"/>
  <c r="AE11" i="13"/>
  <c r="AD11" i="13"/>
  <c r="AC11" i="13"/>
  <c r="Z11" i="13"/>
  <c r="Y11" i="13"/>
  <c r="X11" i="13"/>
  <c r="V11" i="13"/>
  <c r="U11" i="13"/>
  <c r="T11" i="13"/>
  <c r="R11" i="13"/>
  <c r="Q11" i="13"/>
  <c r="P11" i="13"/>
  <c r="O11" i="13"/>
  <c r="M11" i="13"/>
  <c r="L11" i="13"/>
  <c r="K11" i="13"/>
  <c r="J11" i="13"/>
  <c r="I11" i="13"/>
  <c r="G11" i="13"/>
  <c r="F11" i="13"/>
  <c r="E11" i="13"/>
  <c r="D11" i="13"/>
  <c r="C11" i="13"/>
  <c r="B11" i="13"/>
  <c r="AE10" i="13"/>
  <c r="AD10" i="13"/>
  <c r="AC10" i="13"/>
  <c r="Z10" i="13"/>
  <c r="Y10" i="13"/>
  <c r="X10" i="13"/>
  <c r="V10" i="13"/>
  <c r="U10" i="13"/>
  <c r="T10" i="13"/>
  <c r="R10" i="13"/>
  <c r="Q10" i="13"/>
  <c r="P10" i="13"/>
  <c r="O10" i="13"/>
  <c r="M10" i="13"/>
  <c r="L10" i="13"/>
  <c r="K10" i="13"/>
  <c r="J10" i="13"/>
  <c r="I10" i="13"/>
  <c r="G10" i="13"/>
  <c r="F10" i="13"/>
  <c r="E10" i="13"/>
  <c r="D10" i="13"/>
  <c r="C10" i="13"/>
  <c r="B10" i="13"/>
  <c r="AE9" i="13"/>
  <c r="AD9" i="13"/>
  <c r="AC9" i="13"/>
  <c r="Z9" i="13"/>
  <c r="Y9" i="13"/>
  <c r="X9" i="13"/>
  <c r="V9" i="13"/>
  <c r="U9" i="13"/>
  <c r="T9" i="13"/>
  <c r="R9" i="13"/>
  <c r="Q9" i="13"/>
  <c r="P9" i="13"/>
  <c r="O9" i="13"/>
  <c r="M9" i="13"/>
  <c r="L9" i="13"/>
  <c r="K9" i="13"/>
  <c r="J9" i="13"/>
  <c r="I9" i="13"/>
  <c r="G9" i="13"/>
  <c r="F9" i="13"/>
  <c r="E9" i="13"/>
  <c r="D9" i="13"/>
  <c r="C9" i="13"/>
  <c r="B9" i="13"/>
  <c r="AE8" i="13"/>
  <c r="AD8" i="13"/>
  <c r="AC8" i="13"/>
  <c r="Z8" i="13"/>
  <c r="Y8" i="13"/>
  <c r="X8" i="13"/>
  <c r="V8" i="13"/>
  <c r="U8" i="13"/>
  <c r="T8" i="13"/>
  <c r="R8" i="13"/>
  <c r="Q8" i="13"/>
  <c r="P8" i="13"/>
  <c r="O8" i="13"/>
  <c r="M8" i="13"/>
  <c r="L8" i="13"/>
  <c r="K8" i="13"/>
  <c r="J8" i="13"/>
  <c r="I8" i="13"/>
  <c r="G8" i="13"/>
  <c r="F8" i="13"/>
  <c r="E8" i="13"/>
  <c r="D8" i="13"/>
  <c r="C8" i="13"/>
  <c r="B8" i="13"/>
  <c r="AE7" i="13"/>
  <c r="AD7" i="13"/>
  <c r="AC7" i="13"/>
  <c r="Z7" i="13"/>
  <c r="Y7" i="13"/>
  <c r="X7" i="13"/>
  <c r="V7" i="13"/>
  <c r="U7" i="13"/>
  <c r="T7" i="13"/>
  <c r="R7" i="13"/>
  <c r="Q7" i="13"/>
  <c r="P7" i="13"/>
  <c r="O7" i="13"/>
  <c r="M7" i="13"/>
  <c r="L7" i="13"/>
  <c r="K7" i="13"/>
  <c r="J7" i="13"/>
  <c r="I7" i="13"/>
  <c r="G7" i="13"/>
  <c r="F7" i="13"/>
  <c r="E7" i="13"/>
  <c r="D7" i="13"/>
  <c r="C7" i="13"/>
  <c r="B7" i="13"/>
  <c r="C66" i="12"/>
  <c r="D66" i="12" s="1"/>
  <c r="B66" i="12"/>
  <c r="F66" i="12" s="1"/>
  <c r="C65" i="12"/>
  <c r="D65" i="12" s="1"/>
  <c r="B65" i="12"/>
  <c r="F65" i="12" s="1"/>
  <c r="C64" i="12"/>
  <c r="D64" i="12" s="1"/>
  <c r="B64" i="12"/>
  <c r="F64" i="12" s="1"/>
  <c r="C63" i="12"/>
  <c r="D63" i="12" s="1"/>
  <c r="B63" i="12"/>
  <c r="F63" i="12" s="1"/>
  <c r="C62" i="12"/>
  <c r="D62" i="12" s="1"/>
  <c r="B62" i="12"/>
  <c r="F62" i="12" s="1"/>
  <c r="C61" i="12"/>
  <c r="D61" i="12" s="1"/>
  <c r="B61" i="12"/>
  <c r="F61" i="12" s="1"/>
  <c r="C60" i="12"/>
  <c r="D60" i="12" s="1"/>
  <c r="B60" i="12"/>
  <c r="F60" i="12" s="1"/>
  <c r="C59" i="12"/>
  <c r="D59" i="12" s="1"/>
  <c r="B59" i="12"/>
  <c r="F59" i="12" s="1"/>
  <c r="C58" i="12"/>
  <c r="D58" i="12" s="1"/>
  <c r="B58" i="12"/>
  <c r="F58" i="12" s="1"/>
  <c r="C57" i="12"/>
  <c r="D57" i="12" s="1"/>
  <c r="B57" i="12"/>
  <c r="F57" i="12" s="1"/>
  <c r="C56" i="12"/>
  <c r="D56" i="12" s="1"/>
  <c r="B56" i="12"/>
  <c r="F56" i="12" s="1"/>
  <c r="C55" i="12"/>
  <c r="D55" i="12" s="1"/>
  <c r="B55" i="12"/>
  <c r="F55" i="12" s="1"/>
  <c r="C54" i="12"/>
  <c r="D54" i="12" s="1"/>
  <c r="B54" i="12"/>
  <c r="F54" i="12" s="1"/>
  <c r="C53" i="12"/>
  <c r="D53" i="12" s="1"/>
  <c r="B53" i="12"/>
  <c r="F53" i="12" s="1"/>
  <c r="C52" i="12"/>
  <c r="D52" i="12" s="1"/>
  <c r="B52" i="12"/>
  <c r="F52" i="12" s="1"/>
  <c r="C51" i="12"/>
  <c r="D51" i="12" s="1"/>
  <c r="B51" i="12"/>
  <c r="F51" i="12" s="1"/>
  <c r="C50" i="12"/>
  <c r="D50" i="12" s="1"/>
  <c r="B50" i="12"/>
  <c r="F50" i="12" s="1"/>
  <c r="C49" i="12"/>
  <c r="D49" i="12" s="1"/>
  <c r="B49" i="12"/>
  <c r="F49" i="12" s="1"/>
  <c r="C48" i="12"/>
  <c r="D48" i="12" s="1"/>
  <c r="B48" i="12"/>
  <c r="F48" i="12" s="1"/>
  <c r="C47" i="12"/>
  <c r="D47" i="12" s="1"/>
  <c r="B47" i="12"/>
  <c r="F47" i="12" s="1"/>
  <c r="C46" i="12"/>
  <c r="D46" i="12" s="1"/>
  <c r="B46" i="12"/>
  <c r="F46" i="12" s="1"/>
  <c r="C45" i="12"/>
  <c r="D45" i="12" s="1"/>
  <c r="B45" i="12"/>
  <c r="F45" i="12" s="1"/>
  <c r="C44" i="12"/>
  <c r="B44" i="12"/>
  <c r="F44" i="12" s="1"/>
  <c r="F43" i="12"/>
  <c r="C43" i="12"/>
  <c r="D43" i="12" s="1"/>
  <c r="B43" i="12"/>
  <c r="C42" i="12"/>
  <c r="D42" i="12" s="1"/>
  <c r="B42" i="12"/>
  <c r="F42" i="12" s="1"/>
  <c r="C41" i="12"/>
  <c r="D41" i="12" s="1"/>
  <c r="B41" i="12"/>
  <c r="F41" i="12" s="1"/>
  <c r="C40" i="12"/>
  <c r="D40" i="12" s="1"/>
  <c r="B40" i="12"/>
  <c r="F40" i="12" s="1"/>
  <c r="C39" i="12"/>
  <c r="D39" i="12" s="1"/>
  <c r="B39" i="12"/>
  <c r="F39" i="12" s="1"/>
  <c r="C38" i="12"/>
  <c r="D38" i="12" s="1"/>
  <c r="B38" i="12"/>
  <c r="F38" i="12" s="1"/>
  <c r="C37" i="12"/>
  <c r="D37" i="12" s="1"/>
  <c r="B37" i="12"/>
  <c r="F37" i="12" s="1"/>
  <c r="C36" i="12"/>
  <c r="D36" i="12" s="1"/>
  <c r="B36" i="12"/>
  <c r="F36" i="12" s="1"/>
  <c r="C35" i="12"/>
  <c r="D35" i="12" s="1"/>
  <c r="B35" i="12"/>
  <c r="F35" i="12" s="1"/>
  <c r="C34" i="12"/>
  <c r="D34" i="12" s="1"/>
  <c r="B34" i="12"/>
  <c r="F34" i="12" s="1"/>
  <c r="C33" i="12"/>
  <c r="D33" i="12" s="1"/>
  <c r="B33" i="12"/>
  <c r="F33" i="12" s="1"/>
  <c r="C32" i="12"/>
  <c r="D32" i="12" s="1"/>
  <c r="B32" i="12"/>
  <c r="F32" i="12" s="1"/>
  <c r="C31" i="12"/>
  <c r="D31" i="12" s="1"/>
  <c r="B31" i="12"/>
  <c r="F31" i="12" s="1"/>
  <c r="C30" i="12"/>
  <c r="D30" i="12" s="1"/>
  <c r="B30" i="12"/>
  <c r="F30" i="12" s="1"/>
  <c r="C29" i="12"/>
  <c r="D29" i="12" s="1"/>
  <c r="B29" i="12"/>
  <c r="F29" i="12" s="1"/>
  <c r="C28" i="12"/>
  <c r="D28" i="12" s="1"/>
  <c r="B28" i="12"/>
  <c r="F28" i="12" s="1"/>
  <c r="C27" i="12"/>
  <c r="D27" i="12" s="1"/>
  <c r="B27" i="12"/>
  <c r="F27" i="12" s="1"/>
  <c r="C26" i="12"/>
  <c r="D26" i="12" s="1"/>
  <c r="B26" i="12"/>
  <c r="F26" i="12" s="1"/>
  <c r="C25" i="12"/>
  <c r="D25" i="12" s="1"/>
  <c r="B25" i="12"/>
  <c r="F25" i="12" s="1"/>
  <c r="C24" i="12"/>
  <c r="D24" i="12" s="1"/>
  <c r="B24" i="12"/>
  <c r="F24" i="12" s="1"/>
  <c r="C23" i="12"/>
  <c r="D23" i="12" s="1"/>
  <c r="B23" i="12"/>
  <c r="F23" i="12" s="1"/>
  <c r="C22" i="12"/>
  <c r="D22" i="12" s="1"/>
  <c r="B22" i="12"/>
  <c r="F22" i="12" s="1"/>
  <c r="C21" i="12"/>
  <c r="D21" i="12" s="1"/>
  <c r="B21" i="12"/>
  <c r="F21" i="12" s="1"/>
  <c r="C20" i="12"/>
  <c r="D20" i="12" s="1"/>
  <c r="B20" i="12"/>
  <c r="F20" i="12" s="1"/>
  <c r="C19" i="12"/>
  <c r="D19" i="12" s="1"/>
  <c r="B19" i="12"/>
  <c r="F19" i="12" s="1"/>
  <c r="C18" i="12"/>
  <c r="D18" i="12" s="1"/>
  <c r="B18" i="12"/>
  <c r="F18" i="12" s="1"/>
  <c r="C17" i="12"/>
  <c r="D17" i="12" s="1"/>
  <c r="B17" i="12"/>
  <c r="F17" i="12" s="1"/>
  <c r="C16" i="12"/>
  <c r="D16" i="12" s="1"/>
  <c r="B16" i="12"/>
  <c r="F16" i="12" s="1"/>
  <c r="C15" i="12"/>
  <c r="D15" i="12" s="1"/>
  <c r="B15" i="12"/>
  <c r="F15" i="12" s="1"/>
  <c r="F67" i="12" s="1"/>
  <c r="B13" i="12"/>
  <c r="B12" i="12"/>
  <c r="C8" i="12"/>
  <c r="C9" i="12" s="1"/>
  <c r="F69" i="11"/>
  <c r="E69" i="11"/>
  <c r="D69" i="11"/>
  <c r="C69" i="11"/>
  <c r="B69" i="11"/>
  <c r="F68" i="11"/>
  <c r="E68" i="11"/>
  <c r="D68" i="11"/>
  <c r="C68" i="11"/>
  <c r="B68" i="11"/>
  <c r="F67" i="11"/>
  <c r="E67" i="11"/>
  <c r="D67" i="11"/>
  <c r="C67" i="11"/>
  <c r="B67" i="11"/>
  <c r="F66" i="11"/>
  <c r="E66" i="11"/>
  <c r="D66" i="11"/>
  <c r="C66" i="11"/>
  <c r="B66" i="11"/>
  <c r="F65" i="11"/>
  <c r="E65" i="11"/>
  <c r="D65" i="11"/>
  <c r="C65" i="11"/>
  <c r="B65" i="11"/>
  <c r="F64" i="11"/>
  <c r="E64" i="11"/>
  <c r="D64" i="11"/>
  <c r="C64" i="11"/>
  <c r="B64" i="11"/>
  <c r="F63" i="11"/>
  <c r="E63" i="11"/>
  <c r="D63" i="11"/>
  <c r="C63" i="11"/>
  <c r="B63" i="11"/>
  <c r="F62" i="11"/>
  <c r="E62" i="11"/>
  <c r="D62" i="11"/>
  <c r="C62" i="11"/>
  <c r="B62" i="11"/>
  <c r="F61" i="11"/>
  <c r="E61" i="11"/>
  <c r="D61" i="11"/>
  <c r="C61" i="11"/>
  <c r="B61" i="11"/>
  <c r="F60" i="11"/>
  <c r="E60" i="11"/>
  <c r="D60" i="11"/>
  <c r="C60" i="11"/>
  <c r="B60" i="11"/>
  <c r="F59" i="11"/>
  <c r="E59" i="11"/>
  <c r="D59" i="11"/>
  <c r="C59" i="11"/>
  <c r="B59" i="11"/>
  <c r="F58" i="11"/>
  <c r="E58" i="11"/>
  <c r="D58" i="11"/>
  <c r="C58" i="11"/>
  <c r="B58" i="11"/>
  <c r="F57" i="11"/>
  <c r="E57" i="11"/>
  <c r="D57" i="11"/>
  <c r="C57" i="11"/>
  <c r="B57" i="11"/>
  <c r="F56" i="11"/>
  <c r="E56" i="11"/>
  <c r="D56" i="11"/>
  <c r="C56" i="11"/>
  <c r="B56" i="11"/>
  <c r="F55" i="11"/>
  <c r="E55" i="11"/>
  <c r="D55" i="11"/>
  <c r="C55" i="11"/>
  <c r="B55" i="11"/>
  <c r="F54" i="11"/>
  <c r="E54" i="11"/>
  <c r="D54" i="11"/>
  <c r="C54" i="11"/>
  <c r="B54" i="11"/>
  <c r="F53" i="11"/>
  <c r="E53" i="11"/>
  <c r="D53" i="11"/>
  <c r="C53" i="11"/>
  <c r="B53" i="11"/>
  <c r="F52" i="11"/>
  <c r="E52" i="11"/>
  <c r="D52" i="11"/>
  <c r="C52" i="11"/>
  <c r="B52" i="11"/>
  <c r="F51" i="11"/>
  <c r="E51" i="11"/>
  <c r="D51" i="11"/>
  <c r="C51" i="11"/>
  <c r="B51" i="11"/>
  <c r="F50" i="11"/>
  <c r="E50" i="11"/>
  <c r="D50" i="11"/>
  <c r="C50" i="11"/>
  <c r="B50" i="11"/>
  <c r="F49" i="11"/>
  <c r="E49" i="11"/>
  <c r="D49" i="11"/>
  <c r="C49" i="11"/>
  <c r="B49" i="11"/>
  <c r="F48" i="11"/>
  <c r="E48" i="11"/>
  <c r="D48" i="11"/>
  <c r="C48" i="11"/>
  <c r="B48" i="11"/>
  <c r="F47" i="11"/>
  <c r="E47" i="11"/>
  <c r="D47" i="11"/>
  <c r="C47" i="11"/>
  <c r="B47" i="11"/>
  <c r="F46" i="11"/>
  <c r="E46" i="11"/>
  <c r="D46" i="11"/>
  <c r="C46" i="11"/>
  <c r="B46" i="11"/>
  <c r="F45" i="11"/>
  <c r="E45" i="11"/>
  <c r="D45" i="11"/>
  <c r="C45" i="11"/>
  <c r="B45" i="11"/>
  <c r="F44" i="11"/>
  <c r="E44" i="11"/>
  <c r="D44" i="11"/>
  <c r="C44" i="11"/>
  <c r="B44" i="11"/>
  <c r="F43" i="11"/>
  <c r="E43" i="11"/>
  <c r="D43" i="11"/>
  <c r="C43" i="11"/>
  <c r="B43" i="11"/>
  <c r="F42" i="11"/>
  <c r="E42" i="11"/>
  <c r="D42" i="11"/>
  <c r="C42" i="11"/>
  <c r="B42" i="11"/>
  <c r="F41" i="11"/>
  <c r="E41" i="11"/>
  <c r="D41" i="11"/>
  <c r="C41" i="11"/>
  <c r="B41" i="11"/>
  <c r="F40" i="11"/>
  <c r="E40" i="11"/>
  <c r="D40" i="11"/>
  <c r="C40" i="11"/>
  <c r="B40" i="11"/>
  <c r="F39" i="11"/>
  <c r="E39" i="11"/>
  <c r="D39" i="11"/>
  <c r="C39" i="11"/>
  <c r="B39" i="11"/>
  <c r="F38" i="11"/>
  <c r="E38" i="11"/>
  <c r="D38" i="11"/>
  <c r="C38" i="11"/>
  <c r="B38" i="11"/>
  <c r="F37" i="11"/>
  <c r="E37" i="11"/>
  <c r="D37" i="11"/>
  <c r="C37" i="11"/>
  <c r="B37" i="11"/>
  <c r="F36" i="11"/>
  <c r="E36" i="11"/>
  <c r="D36" i="11"/>
  <c r="C36" i="11"/>
  <c r="B36" i="11"/>
  <c r="F35" i="11"/>
  <c r="E35" i="11"/>
  <c r="D35" i="11"/>
  <c r="C35" i="11"/>
  <c r="B35" i="11"/>
  <c r="F34" i="11"/>
  <c r="E34" i="11"/>
  <c r="D34" i="11"/>
  <c r="C34" i="11"/>
  <c r="B34" i="11"/>
  <c r="F33" i="11"/>
  <c r="E33" i="11"/>
  <c r="D33" i="11"/>
  <c r="C33" i="11"/>
  <c r="B33" i="11"/>
  <c r="F32" i="11"/>
  <c r="E32" i="11"/>
  <c r="D32" i="11"/>
  <c r="C32" i="11"/>
  <c r="B32" i="11"/>
  <c r="F31" i="11"/>
  <c r="E31" i="11"/>
  <c r="D31" i="11"/>
  <c r="C31" i="11"/>
  <c r="B31" i="11"/>
  <c r="F30" i="11"/>
  <c r="E30" i="11"/>
  <c r="D30" i="11"/>
  <c r="C30" i="11"/>
  <c r="B30" i="11"/>
  <c r="F29" i="11"/>
  <c r="E29" i="11"/>
  <c r="D29" i="11"/>
  <c r="C29" i="11"/>
  <c r="B29" i="11"/>
  <c r="F28" i="11"/>
  <c r="E28" i="11"/>
  <c r="D28" i="11"/>
  <c r="C28" i="11"/>
  <c r="B28" i="11"/>
  <c r="F27" i="11"/>
  <c r="E27" i="11"/>
  <c r="D27" i="11"/>
  <c r="C27" i="11"/>
  <c r="B27" i="11"/>
  <c r="F26" i="11"/>
  <c r="E26" i="11"/>
  <c r="D26" i="11"/>
  <c r="C26" i="11"/>
  <c r="B26" i="11"/>
  <c r="F25" i="11"/>
  <c r="E25" i="11"/>
  <c r="D25" i="11"/>
  <c r="C25" i="11"/>
  <c r="B25" i="11"/>
  <c r="F24" i="11"/>
  <c r="E24" i="11"/>
  <c r="D24" i="11"/>
  <c r="C24" i="11"/>
  <c r="B24" i="11"/>
  <c r="F23" i="11"/>
  <c r="E23" i="11"/>
  <c r="D23" i="11"/>
  <c r="C23" i="11"/>
  <c r="B23" i="11"/>
  <c r="F22" i="11"/>
  <c r="E22" i="11"/>
  <c r="D22" i="11"/>
  <c r="C22" i="11"/>
  <c r="B22" i="11"/>
  <c r="F21" i="11"/>
  <c r="E21" i="11"/>
  <c r="D21" i="11"/>
  <c r="C21" i="11"/>
  <c r="B21" i="11"/>
  <c r="F20" i="11"/>
  <c r="E20" i="11"/>
  <c r="D20" i="11"/>
  <c r="C20" i="11"/>
  <c r="B20" i="11"/>
  <c r="F19" i="11"/>
  <c r="E19" i="11"/>
  <c r="D19" i="11"/>
  <c r="C19" i="11"/>
  <c r="B19" i="11"/>
  <c r="F18" i="11"/>
  <c r="F70" i="11" s="1"/>
  <c r="E18" i="11"/>
  <c r="D18" i="11"/>
  <c r="C18" i="11"/>
  <c r="B18" i="11"/>
  <c r="I88" i="10"/>
  <c r="E88" i="10"/>
  <c r="D88" i="10"/>
  <c r="C88" i="10"/>
  <c r="B88" i="10"/>
  <c r="I87" i="10"/>
  <c r="E87" i="10"/>
  <c r="D87" i="10"/>
  <c r="C87" i="10"/>
  <c r="B87" i="10"/>
  <c r="I86" i="10"/>
  <c r="E86" i="10"/>
  <c r="D86" i="10"/>
  <c r="C86" i="10"/>
  <c r="B86" i="10"/>
  <c r="I85" i="10"/>
  <c r="E85" i="10"/>
  <c r="D85" i="10"/>
  <c r="C85" i="10"/>
  <c r="B85" i="10"/>
  <c r="I84" i="10"/>
  <c r="E84" i="10"/>
  <c r="D84" i="10"/>
  <c r="C84" i="10"/>
  <c r="B84" i="10"/>
  <c r="I83" i="10"/>
  <c r="E83" i="10"/>
  <c r="D83" i="10"/>
  <c r="C83" i="10"/>
  <c r="B83" i="10"/>
  <c r="I82" i="10"/>
  <c r="E82" i="10"/>
  <c r="D82" i="10"/>
  <c r="C82" i="10"/>
  <c r="B82" i="10"/>
  <c r="I81" i="10"/>
  <c r="E81" i="10"/>
  <c r="D81" i="10"/>
  <c r="C81" i="10"/>
  <c r="B81" i="10"/>
  <c r="I80" i="10"/>
  <c r="E80" i="10"/>
  <c r="D80" i="10"/>
  <c r="C80" i="10"/>
  <c r="B80" i="10"/>
  <c r="I79" i="10"/>
  <c r="E79" i="10"/>
  <c r="D79" i="10"/>
  <c r="C79" i="10"/>
  <c r="B79" i="10"/>
  <c r="I78" i="10"/>
  <c r="E78" i="10"/>
  <c r="D78" i="10"/>
  <c r="C78" i="10"/>
  <c r="B78" i="10"/>
  <c r="I77" i="10"/>
  <c r="E77" i="10"/>
  <c r="D77" i="10"/>
  <c r="C77" i="10"/>
  <c r="B77" i="10"/>
  <c r="I76" i="10"/>
  <c r="E76" i="10"/>
  <c r="D76" i="10"/>
  <c r="C76" i="10"/>
  <c r="B76" i="10"/>
  <c r="I75" i="10"/>
  <c r="E75" i="10"/>
  <c r="D75" i="10"/>
  <c r="C75" i="10"/>
  <c r="B75" i="10"/>
  <c r="I74" i="10"/>
  <c r="E74" i="10"/>
  <c r="D74" i="10"/>
  <c r="C74" i="10"/>
  <c r="B74" i="10"/>
  <c r="I73" i="10"/>
  <c r="E73" i="10"/>
  <c r="D73" i="10"/>
  <c r="C73" i="10"/>
  <c r="B73" i="10"/>
  <c r="I72" i="10"/>
  <c r="E72" i="10"/>
  <c r="D72" i="10"/>
  <c r="C72" i="10"/>
  <c r="B72" i="10"/>
  <c r="I71" i="10"/>
  <c r="E71" i="10"/>
  <c r="D71" i="10"/>
  <c r="C71" i="10"/>
  <c r="B71" i="10"/>
  <c r="I70" i="10"/>
  <c r="E70" i="10"/>
  <c r="D70" i="10"/>
  <c r="C70" i="10"/>
  <c r="B70" i="10"/>
  <c r="I69" i="10"/>
  <c r="E69" i="10"/>
  <c r="D69" i="10"/>
  <c r="C69" i="10"/>
  <c r="B69" i="10"/>
  <c r="I68" i="10"/>
  <c r="E68" i="10"/>
  <c r="D68" i="10"/>
  <c r="C68" i="10"/>
  <c r="B68" i="10"/>
  <c r="I67" i="10"/>
  <c r="E67" i="10"/>
  <c r="D67" i="10"/>
  <c r="C67" i="10"/>
  <c r="B67" i="10"/>
  <c r="I66" i="10"/>
  <c r="E66" i="10"/>
  <c r="D66" i="10"/>
  <c r="C66" i="10"/>
  <c r="B66" i="10"/>
  <c r="I65" i="10"/>
  <c r="E65" i="10"/>
  <c r="D65" i="10"/>
  <c r="C65" i="10"/>
  <c r="B65" i="10"/>
  <c r="I64" i="10"/>
  <c r="E64" i="10"/>
  <c r="D64" i="10"/>
  <c r="C64" i="10"/>
  <c r="B64" i="10"/>
  <c r="I63" i="10"/>
  <c r="E63" i="10"/>
  <c r="D63" i="10"/>
  <c r="C63" i="10"/>
  <c r="B63" i="10"/>
  <c r="I62" i="10"/>
  <c r="E62" i="10"/>
  <c r="D62" i="10"/>
  <c r="C62" i="10"/>
  <c r="B62" i="10"/>
  <c r="I61" i="10"/>
  <c r="E61" i="10"/>
  <c r="D61" i="10"/>
  <c r="C61" i="10"/>
  <c r="B61" i="10"/>
  <c r="I60" i="10"/>
  <c r="E60" i="10"/>
  <c r="D60" i="10"/>
  <c r="C60" i="10"/>
  <c r="B60" i="10"/>
  <c r="I59" i="10"/>
  <c r="E59" i="10"/>
  <c r="D59" i="10"/>
  <c r="C59" i="10"/>
  <c r="B59" i="10"/>
  <c r="I58" i="10"/>
  <c r="E58" i="10"/>
  <c r="D58" i="10"/>
  <c r="C58" i="10"/>
  <c r="B58" i="10"/>
  <c r="I57" i="10"/>
  <c r="E57" i="10"/>
  <c r="D57" i="10"/>
  <c r="C57" i="10"/>
  <c r="B57" i="10"/>
  <c r="I56" i="10"/>
  <c r="E56" i="10"/>
  <c r="D56" i="10"/>
  <c r="C56" i="10"/>
  <c r="B56" i="10"/>
  <c r="I55" i="10"/>
  <c r="E55" i="10"/>
  <c r="D55" i="10"/>
  <c r="C55" i="10"/>
  <c r="B55" i="10"/>
  <c r="I54" i="10"/>
  <c r="E54" i="10"/>
  <c r="D54" i="10"/>
  <c r="C54" i="10"/>
  <c r="B54" i="10"/>
  <c r="I53" i="10"/>
  <c r="E53" i="10"/>
  <c r="D53" i="10"/>
  <c r="C53" i="10"/>
  <c r="B53" i="10"/>
  <c r="I52" i="10"/>
  <c r="E52" i="10"/>
  <c r="D52" i="10"/>
  <c r="C52" i="10"/>
  <c r="B52" i="10"/>
  <c r="I51" i="10"/>
  <c r="E51" i="10"/>
  <c r="D51" i="10"/>
  <c r="C51" i="10"/>
  <c r="B51" i="10"/>
  <c r="I50" i="10"/>
  <c r="E50" i="10"/>
  <c r="D50" i="10"/>
  <c r="C50" i="10"/>
  <c r="B50" i="10"/>
  <c r="I49" i="10"/>
  <c r="E49" i="10"/>
  <c r="D49" i="10"/>
  <c r="C49" i="10"/>
  <c r="B49" i="10"/>
  <c r="I48" i="10"/>
  <c r="E48" i="10"/>
  <c r="D48" i="10"/>
  <c r="C48" i="10"/>
  <c r="B48" i="10"/>
  <c r="I47" i="10"/>
  <c r="E47" i="10"/>
  <c r="D47" i="10"/>
  <c r="C47" i="10"/>
  <c r="B47" i="10"/>
  <c r="I46" i="10"/>
  <c r="E46" i="10"/>
  <c r="D46" i="10"/>
  <c r="C46" i="10"/>
  <c r="B46" i="10"/>
  <c r="I45" i="10"/>
  <c r="E45" i="10"/>
  <c r="D45" i="10"/>
  <c r="C45" i="10"/>
  <c r="B45" i="10"/>
  <c r="I44" i="10"/>
  <c r="E44" i="10"/>
  <c r="D44" i="10"/>
  <c r="C44" i="10"/>
  <c r="B44" i="10"/>
  <c r="I43" i="10"/>
  <c r="E43" i="10"/>
  <c r="D43" i="10"/>
  <c r="C43" i="10"/>
  <c r="B43" i="10"/>
  <c r="I42" i="10"/>
  <c r="E42" i="10"/>
  <c r="D42" i="10"/>
  <c r="C42" i="10"/>
  <c r="B42" i="10"/>
  <c r="I41" i="10"/>
  <c r="E41" i="10"/>
  <c r="D41" i="10"/>
  <c r="C41" i="10"/>
  <c r="B41" i="10"/>
  <c r="I40" i="10"/>
  <c r="E40" i="10"/>
  <c r="D40" i="10"/>
  <c r="C40" i="10"/>
  <c r="B40" i="10"/>
  <c r="I39" i="10"/>
  <c r="E39" i="10"/>
  <c r="D39" i="10"/>
  <c r="C39" i="10"/>
  <c r="B39" i="10"/>
  <c r="I38" i="10"/>
  <c r="E38" i="10"/>
  <c r="D38" i="10"/>
  <c r="C38" i="10"/>
  <c r="B38" i="10"/>
  <c r="I37" i="10"/>
  <c r="E37" i="10"/>
  <c r="D37" i="10"/>
  <c r="C37" i="10"/>
  <c r="B37" i="10"/>
  <c r="C32" i="10"/>
  <c r="C19" i="10"/>
  <c r="C18" i="10"/>
  <c r="C17" i="10"/>
  <c r="C16" i="10"/>
  <c r="C15" i="10"/>
  <c r="C20" i="10" s="1"/>
  <c r="C13" i="10"/>
  <c r="D10" i="10"/>
  <c r="C10" i="10"/>
  <c r="D9" i="10"/>
  <c r="C9" i="10"/>
  <c r="D8" i="10"/>
  <c r="C8" i="10"/>
  <c r="D7" i="10"/>
  <c r="C7" i="10"/>
  <c r="I111" i="9"/>
  <c r="I110" i="9"/>
  <c r="I109" i="9"/>
  <c r="I108" i="9"/>
  <c r="I107" i="9"/>
  <c r="C101" i="9"/>
  <c r="C100" i="9"/>
  <c r="C99" i="9"/>
  <c r="C98" i="9"/>
  <c r="C97" i="9"/>
  <c r="C95" i="9"/>
  <c r="D92" i="9"/>
  <c r="C92" i="9"/>
  <c r="D91" i="9"/>
  <c r="C91" i="9"/>
  <c r="D90" i="9"/>
  <c r="C90" i="9"/>
  <c r="D89" i="9"/>
  <c r="C89" i="9"/>
  <c r="C83" i="9"/>
  <c r="C82" i="9"/>
  <c r="C81" i="9"/>
  <c r="C80" i="9"/>
  <c r="C79" i="9"/>
  <c r="C77" i="9"/>
  <c r="D74" i="9"/>
  <c r="C74" i="9"/>
  <c r="D73" i="9"/>
  <c r="C73" i="9"/>
  <c r="D72" i="9"/>
  <c r="C72" i="9"/>
  <c r="D71" i="9"/>
  <c r="C71" i="9"/>
  <c r="D70" i="9"/>
  <c r="C70" i="9"/>
  <c r="C64" i="9"/>
  <c r="C63" i="9"/>
  <c r="C62" i="9"/>
  <c r="C61" i="9"/>
  <c r="C60" i="9"/>
  <c r="C58" i="9"/>
  <c r="D55" i="9"/>
  <c r="C55" i="9"/>
  <c r="D54" i="9"/>
  <c r="C54" i="9"/>
  <c r="D53" i="9"/>
  <c r="C53" i="9"/>
  <c r="D52" i="9"/>
  <c r="C52" i="9"/>
  <c r="D51" i="9"/>
  <c r="C51" i="9"/>
  <c r="D50" i="9"/>
  <c r="C50" i="9"/>
  <c r="C44" i="9"/>
  <c r="C43" i="9"/>
  <c r="C42" i="9"/>
  <c r="C41" i="9"/>
  <c r="C40" i="9"/>
  <c r="C38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C23" i="9"/>
  <c r="C22" i="9"/>
  <c r="C21" i="9"/>
  <c r="C20" i="9"/>
  <c r="C19" i="9"/>
  <c r="C17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C23" i="8"/>
  <c r="C22" i="8"/>
  <c r="C21" i="8"/>
  <c r="C20" i="8"/>
  <c r="C19" i="8"/>
  <c r="C24" i="8" s="1"/>
  <c r="C17" i="8"/>
  <c r="C18" i="8" s="1"/>
  <c r="C11" i="6" s="1"/>
  <c r="D14" i="8"/>
  <c r="C14" i="8"/>
  <c r="D13" i="8"/>
  <c r="C13" i="8"/>
  <c r="D12" i="8"/>
  <c r="C12" i="8"/>
  <c r="H11" i="8"/>
  <c r="G11" i="8"/>
  <c r="D11" i="8"/>
  <c r="C11" i="8"/>
  <c r="E11" i="8" s="1"/>
  <c r="F11" i="8" s="1"/>
  <c r="D10" i="8"/>
  <c r="C10" i="8"/>
  <c r="D9" i="8"/>
  <c r="C9" i="8"/>
  <c r="D8" i="8"/>
  <c r="C8" i="8"/>
  <c r="D7" i="8"/>
  <c r="C7" i="8"/>
  <c r="C58" i="7"/>
  <c r="C57" i="7"/>
  <c r="C56" i="7"/>
  <c r="C55" i="7"/>
  <c r="C54" i="7"/>
  <c r="C59" i="7" s="1"/>
  <c r="F16" i="7" s="1"/>
  <c r="C52" i="7"/>
  <c r="C53" i="7" s="1"/>
  <c r="D16" i="7" s="1"/>
  <c r="D49" i="7"/>
  <c r="C49" i="7"/>
  <c r="D48" i="7"/>
  <c r="C48" i="7"/>
  <c r="D47" i="7"/>
  <c r="C47" i="7"/>
  <c r="D46" i="7"/>
  <c r="C46" i="7"/>
  <c r="C40" i="7"/>
  <c r="C39" i="7"/>
  <c r="C38" i="7"/>
  <c r="C37" i="7"/>
  <c r="C36" i="7"/>
  <c r="C41" i="7" s="1"/>
  <c r="F15" i="7" s="1"/>
  <c r="C34" i="7"/>
  <c r="C35" i="7" s="1"/>
  <c r="D15" i="7" s="1"/>
  <c r="D31" i="7"/>
  <c r="C31" i="7"/>
  <c r="D30" i="7"/>
  <c r="C30" i="7"/>
  <c r="D29" i="7"/>
  <c r="C29" i="7"/>
  <c r="D28" i="7"/>
  <c r="C28" i="7"/>
  <c r="E16" i="7"/>
  <c r="C16" i="7"/>
  <c r="E15" i="7"/>
  <c r="C15" i="7"/>
  <c r="C10" i="7"/>
  <c r="C9" i="7"/>
  <c r="C8" i="7"/>
  <c r="C7" i="7"/>
  <c r="C6" i="7"/>
  <c r="C15" i="6"/>
  <c r="E15" i="6" s="1"/>
  <c r="D14" i="6"/>
  <c r="C14" i="6"/>
  <c r="D12" i="6"/>
  <c r="C12" i="6"/>
  <c r="D10" i="6"/>
  <c r="C10" i="6"/>
  <c r="D8" i="6"/>
  <c r="C8" i="6"/>
  <c r="D7" i="6"/>
  <c r="C7" i="6"/>
  <c r="D6" i="6"/>
  <c r="D9" i="6" s="1"/>
  <c r="C6" i="6"/>
  <c r="C9" i="6" s="1"/>
  <c r="L12" i="5"/>
  <c r="F12" i="5"/>
  <c r="G12" i="5" s="1"/>
  <c r="L11" i="5"/>
  <c r="F11" i="5"/>
  <c r="G11" i="5" s="1"/>
  <c r="L10" i="5"/>
  <c r="F10" i="5"/>
  <c r="G10" i="5" s="1"/>
  <c r="L9" i="5"/>
  <c r="F9" i="5"/>
  <c r="G9" i="5" s="1"/>
  <c r="L8" i="5"/>
  <c r="F8" i="5"/>
  <c r="G8" i="5" s="1"/>
  <c r="L7" i="5"/>
  <c r="F7" i="5"/>
  <c r="G7" i="5" s="1"/>
  <c r="L6" i="5"/>
  <c r="F6" i="5"/>
  <c r="G6" i="5" s="1"/>
  <c r="C29" i="4"/>
  <c r="C26" i="4"/>
  <c r="C27" i="4" s="1"/>
  <c r="C28" i="4" s="1"/>
  <c r="C23" i="4"/>
  <c r="C22" i="4"/>
  <c r="C21" i="4"/>
  <c r="C20" i="4"/>
  <c r="C19" i="4"/>
  <c r="J13" i="4"/>
  <c r="I13" i="4"/>
  <c r="H13" i="4"/>
  <c r="G13" i="4"/>
  <c r="F13" i="4"/>
  <c r="E13" i="4"/>
  <c r="D13" i="4"/>
  <c r="C13" i="4"/>
  <c r="J12" i="4"/>
  <c r="I12" i="4"/>
  <c r="H12" i="4"/>
  <c r="G12" i="4"/>
  <c r="F12" i="4"/>
  <c r="E12" i="4"/>
  <c r="D12" i="4"/>
  <c r="C12" i="4"/>
  <c r="J11" i="4"/>
  <c r="I11" i="4"/>
  <c r="H11" i="4"/>
  <c r="G11" i="4"/>
  <c r="F11" i="4"/>
  <c r="E11" i="4"/>
  <c r="D11" i="4"/>
  <c r="C11" i="4"/>
  <c r="J10" i="4"/>
  <c r="I10" i="4"/>
  <c r="H10" i="4"/>
  <c r="G10" i="4"/>
  <c r="F10" i="4"/>
  <c r="E10" i="4"/>
  <c r="D10" i="4"/>
  <c r="C10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C18" i="4" s="1"/>
  <c r="J7" i="4"/>
  <c r="I7" i="4"/>
  <c r="H7" i="4"/>
  <c r="G7" i="4"/>
  <c r="F7" i="4"/>
  <c r="E7" i="4"/>
  <c r="D7" i="4"/>
  <c r="C7" i="4"/>
  <c r="C17" i="4" s="1"/>
  <c r="J6" i="4"/>
  <c r="I6" i="4"/>
  <c r="H6" i="4"/>
  <c r="G6" i="4"/>
  <c r="F6" i="4"/>
  <c r="E6" i="4"/>
  <c r="D6" i="4"/>
  <c r="C6" i="4"/>
  <c r="J60" i="3"/>
  <c r="I60" i="3"/>
  <c r="H60" i="3"/>
  <c r="G60" i="3"/>
  <c r="F60" i="3"/>
  <c r="E60" i="3"/>
  <c r="D60" i="3"/>
  <c r="C60" i="3"/>
  <c r="I59" i="3"/>
  <c r="H59" i="3"/>
  <c r="G59" i="3"/>
  <c r="F59" i="3"/>
  <c r="E59" i="3"/>
  <c r="D59" i="3"/>
  <c r="C59" i="3"/>
  <c r="E6" i="11" s="1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J64" i="2"/>
  <c r="I64" i="2"/>
  <c r="H64" i="2"/>
  <c r="G64" i="2"/>
  <c r="F64" i="2"/>
  <c r="E64" i="2"/>
  <c r="D64" i="2"/>
  <c r="C64" i="2"/>
  <c r="J63" i="2"/>
  <c r="I63" i="2"/>
  <c r="H63" i="2"/>
  <c r="G63" i="2"/>
  <c r="F63" i="2"/>
  <c r="E63" i="2"/>
  <c r="D63" i="2"/>
  <c r="C63" i="2"/>
  <c r="J61" i="2"/>
  <c r="I61" i="2"/>
  <c r="H61" i="2"/>
  <c r="G61" i="2"/>
  <c r="F61" i="2"/>
  <c r="E61" i="2"/>
  <c r="D61" i="2"/>
  <c r="C61" i="2"/>
  <c r="H59" i="2"/>
  <c r="G59" i="2"/>
  <c r="F59" i="2"/>
  <c r="E59" i="2"/>
  <c r="D59" i="2"/>
  <c r="C59" i="2"/>
  <c r="E12" i="11" s="1"/>
  <c r="C15" i="1"/>
  <c r="C14" i="1"/>
  <c r="C13" i="1"/>
  <c r="C12" i="1"/>
  <c r="C11" i="1"/>
  <c r="D44" i="12" l="1"/>
  <c r="D67" i="12" s="1"/>
  <c r="C67" i="12"/>
  <c r="C28" i="10"/>
  <c r="E28" i="10" s="1"/>
  <c r="C17" i="1"/>
  <c r="C27" i="10"/>
  <c r="E27" i="10" s="1"/>
  <c r="C18" i="1" s="1"/>
  <c r="C14" i="10"/>
  <c r="H10" i="10"/>
  <c r="E10" i="10"/>
  <c r="F10" i="10" s="1"/>
  <c r="I10" i="10" s="1"/>
  <c r="G10" i="10"/>
  <c r="G9" i="10"/>
  <c r="H9" i="10"/>
  <c r="E9" i="10"/>
  <c r="F9" i="10" s="1"/>
  <c r="I9" i="10" s="1"/>
  <c r="E8" i="10"/>
  <c r="F8" i="10" s="1"/>
  <c r="G8" i="10"/>
  <c r="H8" i="10"/>
  <c r="F38" i="10"/>
  <c r="G38" i="10" s="1"/>
  <c r="F39" i="10"/>
  <c r="G39" i="10" s="1"/>
  <c r="H39" i="10" s="1"/>
  <c r="F62" i="10"/>
  <c r="G62" i="10" s="1"/>
  <c r="H62" i="10" s="1"/>
  <c r="F41" i="10"/>
  <c r="G41" i="10" s="1"/>
  <c r="H41" i="10" s="1"/>
  <c r="F42" i="10"/>
  <c r="G42" i="10" s="1"/>
  <c r="H42" i="10" s="1"/>
  <c r="F64" i="10"/>
  <c r="G64" i="10" s="1"/>
  <c r="H64" i="10" s="1"/>
  <c r="F63" i="10"/>
  <c r="G63" i="10" s="1"/>
  <c r="H63" i="10" s="1"/>
  <c r="F61" i="10"/>
  <c r="G61" i="10" s="1"/>
  <c r="H61" i="10" s="1"/>
  <c r="F88" i="10"/>
  <c r="G88" i="10" s="1"/>
  <c r="H88" i="10" s="1"/>
  <c r="F66" i="10"/>
  <c r="G66" i="10" s="1"/>
  <c r="H66" i="10" s="1"/>
  <c r="F60" i="10"/>
  <c r="G60" i="10" s="1"/>
  <c r="H60" i="10" s="1"/>
  <c r="F59" i="10"/>
  <c r="G59" i="10" s="1"/>
  <c r="H59" i="10" s="1"/>
  <c r="F58" i="10"/>
  <c r="G58" i="10" s="1"/>
  <c r="H58" i="10" s="1"/>
  <c r="F74" i="10"/>
  <c r="G74" i="10" s="1"/>
  <c r="H74" i="10" s="1"/>
  <c r="F76" i="10"/>
  <c r="G76" i="10" s="1"/>
  <c r="H76" i="10" s="1"/>
  <c r="F85" i="10"/>
  <c r="G85" i="10" s="1"/>
  <c r="H85" i="10" s="1"/>
  <c r="F80" i="10"/>
  <c r="G80" i="10" s="1"/>
  <c r="H80" i="10" s="1"/>
  <c r="F65" i="10"/>
  <c r="G65" i="10" s="1"/>
  <c r="H65" i="10" s="1"/>
  <c r="F84" i="10"/>
  <c r="G84" i="10" s="1"/>
  <c r="H84" i="10" s="1"/>
  <c r="F82" i="10"/>
  <c r="G82" i="10" s="1"/>
  <c r="H82" i="10" s="1"/>
  <c r="F77" i="10"/>
  <c r="G77" i="10" s="1"/>
  <c r="H77" i="10" s="1"/>
  <c r="F70" i="10"/>
  <c r="G70" i="10" s="1"/>
  <c r="H70" i="10" s="1"/>
  <c r="F67" i="10"/>
  <c r="G67" i="10" s="1"/>
  <c r="H67" i="10" s="1"/>
  <c r="F86" i="10"/>
  <c r="G86" i="10" s="1"/>
  <c r="H86" i="10" s="1"/>
  <c r="F78" i="10"/>
  <c r="G78" i="10" s="1"/>
  <c r="H78" i="10" s="1"/>
  <c r="F40" i="10"/>
  <c r="G40" i="10" s="1"/>
  <c r="H40" i="10" s="1"/>
  <c r="F81" i="10"/>
  <c r="G81" i="10" s="1"/>
  <c r="H81" i="10" s="1"/>
  <c r="G7" i="10"/>
  <c r="F71" i="10"/>
  <c r="G71" i="10" s="1"/>
  <c r="H71" i="10" s="1"/>
  <c r="F72" i="10"/>
  <c r="G72" i="10" s="1"/>
  <c r="H72" i="10" s="1"/>
  <c r="F73" i="10"/>
  <c r="G73" i="10" s="1"/>
  <c r="H73" i="10" s="1"/>
  <c r="F75" i="10"/>
  <c r="G75" i="10" s="1"/>
  <c r="H75" i="10" s="1"/>
  <c r="F57" i="10"/>
  <c r="G57" i="10" s="1"/>
  <c r="H57" i="10" s="1"/>
  <c r="F56" i="10"/>
  <c r="G56" i="10" s="1"/>
  <c r="H56" i="10" s="1"/>
  <c r="F79" i="10"/>
  <c r="G79" i="10" s="1"/>
  <c r="H79" i="10" s="1"/>
  <c r="F55" i="10"/>
  <c r="G55" i="10" s="1"/>
  <c r="H55" i="10" s="1"/>
  <c r="F54" i="10"/>
  <c r="G54" i="10" s="1"/>
  <c r="H54" i="10" s="1"/>
  <c r="F53" i="10"/>
  <c r="G53" i="10" s="1"/>
  <c r="H53" i="10" s="1"/>
  <c r="F52" i="10"/>
  <c r="G52" i="10" s="1"/>
  <c r="H52" i="10" s="1"/>
  <c r="F51" i="10"/>
  <c r="G51" i="10" s="1"/>
  <c r="H51" i="10" s="1"/>
  <c r="F50" i="10"/>
  <c r="G50" i="10" s="1"/>
  <c r="H50" i="10" s="1"/>
  <c r="F49" i="10"/>
  <c r="G49" i="10" s="1"/>
  <c r="H49" i="10" s="1"/>
  <c r="F48" i="10"/>
  <c r="G48" i="10" s="1"/>
  <c r="H48" i="10" s="1"/>
  <c r="F47" i="10"/>
  <c r="G47" i="10" s="1"/>
  <c r="H47" i="10" s="1"/>
  <c r="B23" i="10"/>
  <c r="F68" i="10"/>
  <c r="G68" i="10" s="1"/>
  <c r="H68" i="10" s="1"/>
  <c r="H7" i="10"/>
  <c r="E7" i="10"/>
  <c r="F87" i="10"/>
  <c r="G87" i="10" s="1"/>
  <c r="H87" i="10" s="1"/>
  <c r="F46" i="10"/>
  <c r="G46" i="10" s="1"/>
  <c r="H46" i="10" s="1"/>
  <c r="F45" i="10"/>
  <c r="G45" i="10" s="1"/>
  <c r="H45" i="10" s="1"/>
  <c r="F37" i="10"/>
  <c r="G37" i="10" s="1"/>
  <c r="F69" i="10"/>
  <c r="G69" i="10" s="1"/>
  <c r="H69" i="10" s="1"/>
  <c r="F44" i="10"/>
  <c r="G44" i="10" s="1"/>
  <c r="H44" i="10" s="1"/>
  <c r="F43" i="10"/>
  <c r="G43" i="10" s="1"/>
  <c r="H43" i="10" s="1"/>
  <c r="F83" i="10"/>
  <c r="G83" i="10" s="1"/>
  <c r="H83" i="10" s="1"/>
  <c r="F111" i="9"/>
  <c r="C102" i="9"/>
  <c r="G111" i="9" s="1"/>
  <c r="C96" i="9"/>
  <c r="E111" i="9" s="1"/>
  <c r="D111" i="9"/>
  <c r="E92" i="9"/>
  <c r="F92" i="9" s="1"/>
  <c r="I92" i="9" s="1"/>
  <c r="G92" i="9"/>
  <c r="H92" i="9"/>
  <c r="G91" i="9"/>
  <c r="H91" i="9"/>
  <c r="E91" i="9"/>
  <c r="F91" i="9" s="1"/>
  <c r="I91" i="9" s="1"/>
  <c r="H90" i="9"/>
  <c r="G90" i="9"/>
  <c r="E90" i="9"/>
  <c r="F90" i="9" s="1"/>
  <c r="H89" i="9"/>
  <c r="G89" i="9"/>
  <c r="E89" i="9"/>
  <c r="F89" i="9" s="1"/>
  <c r="F110" i="9"/>
  <c r="C84" i="9"/>
  <c r="G110" i="9" s="1"/>
  <c r="D110" i="9"/>
  <c r="C78" i="9"/>
  <c r="E110" i="9" s="1"/>
  <c r="G74" i="9"/>
  <c r="H74" i="9"/>
  <c r="E74" i="9"/>
  <c r="F74" i="9" s="1"/>
  <c r="I74" i="9" s="1"/>
  <c r="E73" i="9"/>
  <c r="F73" i="9" s="1"/>
  <c r="I73" i="9" s="1"/>
  <c r="H73" i="9"/>
  <c r="G73" i="9"/>
  <c r="H72" i="9"/>
  <c r="G72" i="9"/>
  <c r="E72" i="9"/>
  <c r="F72" i="9" s="1"/>
  <c r="I72" i="9" s="1"/>
  <c r="E71" i="9"/>
  <c r="F71" i="9" s="1"/>
  <c r="G71" i="9"/>
  <c r="H71" i="9"/>
  <c r="E70" i="9"/>
  <c r="F70" i="9" s="1"/>
  <c r="H70" i="9"/>
  <c r="G70" i="9"/>
  <c r="C65" i="9"/>
  <c r="G109" i="9" s="1"/>
  <c r="F109" i="9"/>
  <c r="D109" i="9"/>
  <c r="C59" i="9"/>
  <c r="E109" i="9" s="1"/>
  <c r="E55" i="9"/>
  <c r="F55" i="9" s="1"/>
  <c r="I55" i="9" s="1"/>
  <c r="G55" i="9"/>
  <c r="H55" i="9"/>
  <c r="E54" i="9"/>
  <c r="F54" i="9" s="1"/>
  <c r="I54" i="9" s="1"/>
  <c r="G54" i="9"/>
  <c r="H54" i="9"/>
  <c r="E53" i="9"/>
  <c r="F53" i="9" s="1"/>
  <c r="I53" i="9" s="1"/>
  <c r="G53" i="9"/>
  <c r="H53" i="9"/>
  <c r="G52" i="9"/>
  <c r="H52" i="9"/>
  <c r="E52" i="9"/>
  <c r="F52" i="9" s="1"/>
  <c r="I52" i="9" s="1"/>
  <c r="H51" i="9"/>
  <c r="E51" i="9"/>
  <c r="F51" i="9" s="1"/>
  <c r="G51" i="9"/>
  <c r="H50" i="9"/>
  <c r="G50" i="9"/>
  <c r="E50" i="9"/>
  <c r="F50" i="9" s="1"/>
  <c r="C45" i="9"/>
  <c r="G108" i="9" s="1"/>
  <c r="F108" i="9"/>
  <c r="D108" i="9"/>
  <c r="C39" i="9"/>
  <c r="E108" i="9" s="1"/>
  <c r="H35" i="9"/>
  <c r="G35" i="9"/>
  <c r="E35" i="9"/>
  <c r="F35" i="9" s="1"/>
  <c r="I35" i="9" s="1"/>
  <c r="H34" i="9"/>
  <c r="G34" i="9"/>
  <c r="E34" i="9"/>
  <c r="F34" i="9" s="1"/>
  <c r="I34" i="9" s="1"/>
  <c r="G33" i="9"/>
  <c r="H33" i="9"/>
  <c r="E33" i="9"/>
  <c r="F33" i="9" s="1"/>
  <c r="I33" i="9" s="1"/>
  <c r="E32" i="9"/>
  <c r="F32" i="9" s="1"/>
  <c r="I32" i="9" s="1"/>
  <c r="G32" i="9"/>
  <c r="H32" i="9"/>
  <c r="H31" i="9"/>
  <c r="G31" i="9"/>
  <c r="E31" i="9"/>
  <c r="F31" i="9" s="1"/>
  <c r="I31" i="9" s="1"/>
  <c r="H30" i="9"/>
  <c r="E30" i="9"/>
  <c r="F30" i="9" s="1"/>
  <c r="G30" i="9"/>
  <c r="H29" i="9"/>
  <c r="G29" i="9"/>
  <c r="E29" i="9"/>
  <c r="F29" i="9" s="1"/>
  <c r="C24" i="9"/>
  <c r="G107" i="9" s="1"/>
  <c r="F107" i="9"/>
  <c r="D107" i="9"/>
  <c r="C18" i="9"/>
  <c r="E107" i="9" s="1"/>
  <c r="E14" i="9"/>
  <c r="F14" i="9" s="1"/>
  <c r="I14" i="9" s="1"/>
  <c r="G14" i="9"/>
  <c r="H14" i="9"/>
  <c r="H13" i="9"/>
  <c r="E13" i="9"/>
  <c r="F13" i="9" s="1"/>
  <c r="I13" i="9" s="1"/>
  <c r="G13" i="9"/>
  <c r="E12" i="9"/>
  <c r="F12" i="9" s="1"/>
  <c r="I12" i="9" s="1"/>
  <c r="G12" i="9"/>
  <c r="H12" i="9"/>
  <c r="E11" i="9"/>
  <c r="F11" i="9" s="1"/>
  <c r="I11" i="9" s="1"/>
  <c r="G11" i="9"/>
  <c r="H11" i="9"/>
  <c r="E10" i="9"/>
  <c r="F10" i="9" s="1"/>
  <c r="I10" i="9" s="1"/>
  <c r="G10" i="9"/>
  <c r="H10" i="9"/>
  <c r="G9" i="9"/>
  <c r="H9" i="9"/>
  <c r="E9" i="9"/>
  <c r="F9" i="9" s="1"/>
  <c r="I9" i="9" s="1"/>
  <c r="H8" i="9"/>
  <c r="G8" i="9"/>
  <c r="E8" i="9"/>
  <c r="F8" i="9" s="1"/>
  <c r="E7" i="9"/>
  <c r="F7" i="9" s="1"/>
  <c r="H7" i="9"/>
  <c r="G7" i="9"/>
  <c r="H14" i="8"/>
  <c r="G14" i="8"/>
  <c r="E14" i="8"/>
  <c r="F14" i="8" s="1"/>
  <c r="E13" i="8"/>
  <c r="F13" i="8" s="1"/>
  <c r="H13" i="8"/>
  <c r="G13" i="8"/>
  <c r="E12" i="8"/>
  <c r="F12" i="8" s="1"/>
  <c r="G12" i="8"/>
  <c r="H12" i="8"/>
  <c r="I11" i="8"/>
  <c r="H9" i="5"/>
  <c r="J9" i="5" s="1"/>
  <c r="K9" i="5" s="1"/>
  <c r="G10" i="8"/>
  <c r="H10" i="8"/>
  <c r="E10" i="8"/>
  <c r="F10" i="8" s="1"/>
  <c r="G9" i="8"/>
  <c r="E9" i="8"/>
  <c r="F9" i="8" s="1"/>
  <c r="H9" i="8"/>
  <c r="E8" i="8"/>
  <c r="F8" i="8" s="1"/>
  <c r="G8" i="8"/>
  <c r="H8" i="8"/>
  <c r="G7" i="8"/>
  <c r="E7" i="8"/>
  <c r="F7" i="8" s="1"/>
  <c r="H7" i="8"/>
  <c r="H49" i="7"/>
  <c r="E49" i="7"/>
  <c r="F49" i="7" s="1"/>
  <c r="I49" i="7" s="1"/>
  <c r="G49" i="7"/>
  <c r="H48" i="7"/>
  <c r="G48" i="7"/>
  <c r="E48" i="7"/>
  <c r="F48" i="7" s="1"/>
  <c r="I48" i="7" s="1"/>
  <c r="G47" i="7"/>
  <c r="H47" i="7"/>
  <c r="E47" i="7"/>
  <c r="F47" i="7" s="1"/>
  <c r="I47" i="7" s="1"/>
  <c r="H46" i="7"/>
  <c r="G46" i="7"/>
  <c r="E46" i="7"/>
  <c r="F46" i="7" s="1"/>
  <c r="H31" i="7"/>
  <c r="G31" i="7"/>
  <c r="E31" i="7"/>
  <c r="F31" i="7" s="1"/>
  <c r="I31" i="7" s="1"/>
  <c r="G30" i="7"/>
  <c r="H30" i="7"/>
  <c r="E30" i="7"/>
  <c r="F30" i="7" s="1"/>
  <c r="I30" i="7" s="1"/>
  <c r="E29" i="7"/>
  <c r="F29" i="7" s="1"/>
  <c r="I29" i="7" s="1"/>
  <c r="G29" i="7"/>
  <c r="H29" i="7"/>
  <c r="E28" i="7"/>
  <c r="F28" i="7" s="1"/>
  <c r="G28" i="7"/>
  <c r="H28" i="7"/>
  <c r="C11" i="7"/>
  <c r="C9" i="1"/>
  <c r="AA14" i="13"/>
  <c r="AA54" i="13"/>
  <c r="AA9" i="13"/>
  <c r="AA8" i="13"/>
  <c r="AA53" i="13"/>
  <c r="AA7" i="13"/>
  <c r="AA57" i="13"/>
  <c r="AA35" i="13"/>
  <c r="AA56" i="13"/>
  <c r="AA37" i="13"/>
  <c r="AA38" i="13"/>
  <c r="AA39" i="13"/>
  <c r="AA40" i="13"/>
  <c r="AA41" i="13"/>
  <c r="AA42" i="13"/>
  <c r="AA43" i="13"/>
  <c r="AA44" i="13"/>
  <c r="AA45" i="13"/>
  <c r="AA46" i="13"/>
  <c r="AA52" i="13"/>
  <c r="AA51" i="13"/>
  <c r="AA50" i="13"/>
  <c r="AA11" i="13"/>
  <c r="AA12" i="13"/>
  <c r="AA49" i="13"/>
  <c r="AA13" i="13"/>
  <c r="AA48" i="13"/>
  <c r="AA15" i="13"/>
  <c r="AA16" i="13"/>
  <c r="AA47" i="13"/>
  <c r="AA17" i="13"/>
  <c r="AA18" i="13"/>
  <c r="AA36" i="13"/>
  <c r="AA19" i="13"/>
  <c r="AA20" i="13"/>
  <c r="AA21" i="13"/>
  <c r="AA22" i="13"/>
  <c r="AA58" i="13"/>
  <c r="AA55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10" i="13"/>
  <c r="D23" i="4"/>
  <c r="E23" i="4"/>
  <c r="F23" i="4"/>
  <c r="G23" i="4" s="1"/>
  <c r="I23" i="4" s="1"/>
  <c r="E12" i="5" s="1"/>
  <c r="C12" i="5"/>
  <c r="D22" i="4"/>
  <c r="C11" i="5"/>
  <c r="E22" i="4"/>
  <c r="F22" i="4"/>
  <c r="G22" i="4" s="1"/>
  <c r="I22" i="4" s="1"/>
  <c r="E11" i="5" s="1"/>
  <c r="D21" i="4"/>
  <c r="C10" i="5"/>
  <c r="F21" i="4"/>
  <c r="G21" i="4" s="1"/>
  <c r="I21" i="4" s="1"/>
  <c r="E10" i="5" s="1"/>
  <c r="E21" i="4"/>
  <c r="F20" i="4"/>
  <c r="G20" i="4" s="1"/>
  <c r="I20" i="4" s="1"/>
  <c r="E9" i="5" s="1"/>
  <c r="E20" i="4"/>
  <c r="D20" i="4"/>
  <c r="C9" i="5"/>
  <c r="D19" i="4"/>
  <c r="E19" i="4"/>
  <c r="F19" i="4"/>
  <c r="G19" i="4" s="1"/>
  <c r="I19" i="4" s="1"/>
  <c r="E8" i="5" s="1"/>
  <c r="C8" i="5"/>
  <c r="D18" i="4"/>
  <c r="E18" i="4"/>
  <c r="F18" i="4"/>
  <c r="G18" i="4" s="1"/>
  <c r="I18" i="4" s="1"/>
  <c r="E7" i="5" s="1"/>
  <c r="C7" i="5"/>
  <c r="D17" i="4"/>
  <c r="E17" i="4"/>
  <c r="F17" i="4"/>
  <c r="G17" i="4" s="1"/>
  <c r="I17" i="4" s="1"/>
  <c r="E6" i="5" s="1"/>
  <c r="C6" i="5"/>
  <c r="E66" i="12"/>
  <c r="L57" i="3"/>
  <c r="G69" i="11"/>
  <c r="L56" i="3"/>
  <c r="G68" i="11"/>
  <c r="E65" i="12"/>
  <c r="L55" i="3"/>
  <c r="G67" i="11"/>
  <c r="E64" i="12"/>
  <c r="E63" i="12"/>
  <c r="G66" i="11"/>
  <c r="L54" i="3"/>
  <c r="E62" i="12"/>
  <c r="G65" i="11"/>
  <c r="L53" i="3"/>
  <c r="L52" i="3"/>
  <c r="G64" i="11"/>
  <c r="E61" i="12"/>
  <c r="L51" i="3"/>
  <c r="G63" i="11"/>
  <c r="E60" i="12"/>
  <c r="E59" i="12"/>
  <c r="L50" i="3"/>
  <c r="G62" i="11"/>
  <c r="G61" i="11"/>
  <c r="E58" i="12"/>
  <c r="L49" i="3"/>
  <c r="G60" i="11"/>
  <c r="E57" i="12"/>
  <c r="L48" i="3"/>
  <c r="L47" i="3"/>
  <c r="G59" i="11"/>
  <c r="E56" i="12"/>
  <c r="G58" i="11"/>
  <c r="E55" i="12"/>
  <c r="L46" i="3"/>
  <c r="E54" i="12"/>
  <c r="L45" i="3"/>
  <c r="G57" i="11"/>
  <c r="G56" i="11"/>
  <c r="E53" i="12"/>
  <c r="L44" i="3"/>
  <c r="L43" i="3"/>
  <c r="E52" i="12"/>
  <c r="G55" i="11"/>
  <c r="E51" i="12"/>
  <c r="G54" i="11"/>
  <c r="L42" i="3"/>
  <c r="G53" i="11"/>
  <c r="L41" i="3"/>
  <c r="E50" i="12"/>
  <c r="L40" i="3"/>
  <c r="G52" i="11"/>
  <c r="E49" i="12"/>
  <c r="G51" i="11"/>
  <c r="E48" i="12"/>
  <c r="L39" i="3"/>
  <c r="E47" i="12"/>
  <c r="G50" i="11"/>
  <c r="L38" i="3"/>
  <c r="L37" i="3"/>
  <c r="G49" i="11"/>
  <c r="E46" i="12"/>
  <c r="E45" i="12"/>
  <c r="L36" i="3"/>
  <c r="G48" i="11"/>
  <c r="L35" i="3"/>
  <c r="G47" i="11"/>
  <c r="E44" i="12"/>
  <c r="G46" i="11"/>
  <c r="L34" i="3"/>
  <c r="E43" i="12"/>
  <c r="L33" i="3"/>
  <c r="G45" i="11"/>
  <c r="E42" i="12"/>
  <c r="G44" i="11"/>
  <c r="E41" i="12"/>
  <c r="L32" i="3"/>
  <c r="G43" i="11"/>
  <c r="E40" i="12"/>
  <c r="L31" i="3"/>
  <c r="L30" i="3"/>
  <c r="G42" i="11"/>
  <c r="E39" i="12"/>
  <c r="E38" i="12"/>
  <c r="L29" i="3"/>
  <c r="G41" i="11"/>
  <c r="E37" i="12"/>
  <c r="L28" i="3"/>
  <c r="G40" i="11"/>
  <c r="G39" i="11"/>
  <c r="E36" i="12"/>
  <c r="L27" i="3"/>
  <c r="G38" i="11"/>
  <c r="E35" i="12"/>
  <c r="L26" i="3"/>
  <c r="G37" i="11"/>
  <c r="E34" i="12"/>
  <c r="L25" i="3"/>
  <c r="G36" i="11"/>
  <c r="L24" i="3"/>
  <c r="E33" i="12"/>
  <c r="G35" i="11"/>
  <c r="L23" i="3"/>
  <c r="E32" i="12"/>
  <c r="L22" i="3"/>
  <c r="G34" i="11"/>
  <c r="E31" i="12"/>
  <c r="E30" i="12"/>
  <c r="G33" i="11"/>
  <c r="L21" i="3"/>
  <c r="E29" i="12"/>
  <c r="G32" i="11"/>
  <c r="L20" i="3"/>
  <c r="E28" i="12"/>
  <c r="G31" i="11"/>
  <c r="L19" i="3"/>
  <c r="E27" i="12"/>
  <c r="L18" i="3"/>
  <c r="G30" i="11"/>
  <c r="E26" i="12"/>
  <c r="G29" i="11"/>
  <c r="L17" i="3"/>
  <c r="E25" i="12"/>
  <c r="G28" i="11"/>
  <c r="L16" i="3"/>
  <c r="E24" i="12"/>
  <c r="G27" i="11"/>
  <c r="L15" i="3"/>
  <c r="E23" i="12"/>
  <c r="G26" i="11"/>
  <c r="L14" i="3"/>
  <c r="L13" i="3"/>
  <c r="E22" i="12"/>
  <c r="G25" i="11"/>
  <c r="L12" i="3"/>
  <c r="G24" i="11"/>
  <c r="E21" i="12"/>
  <c r="L11" i="3"/>
  <c r="E20" i="12"/>
  <c r="G23" i="11"/>
  <c r="L10" i="3"/>
  <c r="G22" i="11"/>
  <c r="E19" i="12"/>
  <c r="L9" i="3"/>
  <c r="G21" i="11"/>
  <c r="E18" i="12"/>
  <c r="L8" i="3"/>
  <c r="G20" i="11"/>
  <c r="E17" i="12"/>
  <c r="G19" i="11"/>
  <c r="L7" i="3"/>
  <c r="E16" i="12"/>
  <c r="K60" i="3"/>
  <c r="K59" i="3"/>
  <c r="E7" i="11" s="1"/>
  <c r="L6" i="3"/>
  <c r="G18" i="11"/>
  <c r="E15" i="12"/>
  <c r="E13" i="11"/>
  <c r="D11" i="6" l="1"/>
  <c r="B18" i="6" s="1"/>
  <c r="C16" i="1"/>
  <c r="I8" i="10"/>
  <c r="D13" i="6"/>
  <c r="H38" i="10"/>
  <c r="C31" i="10"/>
  <c r="F7" i="10"/>
  <c r="C29" i="10"/>
  <c r="E29" i="10" s="1"/>
  <c r="C33" i="10"/>
  <c r="H37" i="10"/>
  <c r="C30" i="10"/>
  <c r="I90" i="9"/>
  <c r="C115" i="9"/>
  <c r="C111" i="9"/>
  <c r="I71" i="9"/>
  <c r="C110" i="9"/>
  <c r="H110" i="9" s="1"/>
  <c r="J110" i="9" s="1"/>
  <c r="I51" i="9"/>
  <c r="C109" i="9"/>
  <c r="H109" i="9" s="1"/>
  <c r="J109" i="9" s="1"/>
  <c r="I30" i="9"/>
  <c r="C108" i="9"/>
  <c r="H108" i="9" s="1"/>
  <c r="J108" i="9" s="1"/>
  <c r="I8" i="9"/>
  <c r="C107" i="9"/>
  <c r="H107" i="9" s="1"/>
  <c r="J107" i="9" s="1"/>
  <c r="I14" i="8"/>
  <c r="H12" i="5"/>
  <c r="J12" i="5" s="1"/>
  <c r="K12" i="5" s="1"/>
  <c r="I13" i="8"/>
  <c r="H11" i="5"/>
  <c r="J11" i="5" s="1"/>
  <c r="K11" i="5" s="1"/>
  <c r="I12" i="8"/>
  <c r="H10" i="5"/>
  <c r="J10" i="5" s="1"/>
  <c r="K10" i="5" s="1"/>
  <c r="I10" i="8"/>
  <c r="H8" i="5"/>
  <c r="J8" i="5" s="1"/>
  <c r="K8" i="5" s="1"/>
  <c r="I9" i="8"/>
  <c r="H7" i="5"/>
  <c r="J7" i="5" s="1"/>
  <c r="K7" i="5" s="1"/>
  <c r="I8" i="8"/>
  <c r="H6" i="5"/>
  <c r="J6" i="5" s="1"/>
  <c r="C13" i="6"/>
  <c r="C64" i="7"/>
  <c r="D64" i="7"/>
  <c r="C65" i="7"/>
  <c r="D65" i="7"/>
  <c r="C66" i="7"/>
  <c r="D66" i="7"/>
  <c r="C67" i="7"/>
  <c r="D67" i="7"/>
  <c r="C68" i="7"/>
  <c r="D68" i="7"/>
  <c r="C71" i="7"/>
  <c r="C73" i="7"/>
  <c r="C74" i="7"/>
  <c r="C75" i="7"/>
  <c r="C76" i="7"/>
  <c r="C77" i="7"/>
  <c r="H23" i="4"/>
  <c r="D12" i="5" s="1"/>
  <c r="J23" i="4"/>
  <c r="H22" i="4"/>
  <c r="D11" i="5" s="1"/>
  <c r="J22" i="4"/>
  <c r="H21" i="4"/>
  <c r="D10" i="5" s="1"/>
  <c r="J21" i="4"/>
  <c r="H20" i="4"/>
  <c r="D9" i="5" s="1"/>
  <c r="J20" i="4"/>
  <c r="H19" i="4"/>
  <c r="D8" i="5" s="1"/>
  <c r="J19" i="4"/>
  <c r="H18" i="4"/>
  <c r="D7" i="5" s="1"/>
  <c r="J18" i="4"/>
  <c r="H17" i="4"/>
  <c r="D6" i="5" s="1"/>
  <c r="J17" i="4"/>
  <c r="B30" i="4" s="1"/>
  <c r="C6" i="1"/>
  <c r="C7" i="1"/>
  <c r="G66" i="12"/>
  <c r="I66" i="12" s="1"/>
  <c r="H66" i="12"/>
  <c r="M57" i="3"/>
  <c r="I69" i="11" s="1"/>
  <c r="H69" i="11"/>
  <c r="M56" i="3"/>
  <c r="I68" i="11" s="1"/>
  <c r="H68" i="11"/>
  <c r="H65" i="12"/>
  <c r="G65" i="12"/>
  <c r="I65" i="12" s="1"/>
  <c r="M55" i="3"/>
  <c r="I67" i="11" s="1"/>
  <c r="H67" i="11"/>
  <c r="G64" i="12"/>
  <c r="I64" i="12" s="1"/>
  <c r="H64" i="12"/>
  <c r="H63" i="12"/>
  <c r="G63" i="12"/>
  <c r="I63" i="12" s="1"/>
  <c r="M54" i="3"/>
  <c r="I66" i="11" s="1"/>
  <c r="H66" i="11"/>
  <c r="G62" i="12"/>
  <c r="I62" i="12" s="1"/>
  <c r="H62" i="12"/>
  <c r="M53" i="3"/>
  <c r="I65" i="11" s="1"/>
  <c r="H65" i="11"/>
  <c r="M52" i="3"/>
  <c r="I64" i="11" s="1"/>
  <c r="H64" i="11"/>
  <c r="G61" i="12"/>
  <c r="I61" i="12" s="1"/>
  <c r="H61" i="12"/>
  <c r="M51" i="3"/>
  <c r="I63" i="11" s="1"/>
  <c r="H63" i="11"/>
  <c r="H60" i="12"/>
  <c r="G60" i="12"/>
  <c r="I60" i="12" s="1"/>
  <c r="H59" i="12"/>
  <c r="G59" i="12"/>
  <c r="I59" i="12" s="1"/>
  <c r="M50" i="3"/>
  <c r="I62" i="11" s="1"/>
  <c r="H62" i="11"/>
  <c r="H58" i="12"/>
  <c r="G58" i="12"/>
  <c r="I58" i="12" s="1"/>
  <c r="M49" i="3"/>
  <c r="I61" i="11" s="1"/>
  <c r="H61" i="11"/>
  <c r="G57" i="12"/>
  <c r="I57" i="12" s="1"/>
  <c r="H57" i="12"/>
  <c r="M48" i="3"/>
  <c r="I60" i="11" s="1"/>
  <c r="H60" i="11"/>
  <c r="M47" i="3"/>
  <c r="I59" i="11" s="1"/>
  <c r="H59" i="11"/>
  <c r="H56" i="12"/>
  <c r="G56" i="12"/>
  <c r="I56" i="12" s="1"/>
  <c r="H55" i="12"/>
  <c r="G55" i="12"/>
  <c r="I55" i="12" s="1"/>
  <c r="M46" i="3"/>
  <c r="I58" i="11" s="1"/>
  <c r="H58" i="11"/>
  <c r="G54" i="12"/>
  <c r="I54" i="12" s="1"/>
  <c r="H54" i="12"/>
  <c r="M45" i="3"/>
  <c r="I57" i="11" s="1"/>
  <c r="H57" i="11"/>
  <c r="G53" i="12"/>
  <c r="I53" i="12" s="1"/>
  <c r="H53" i="12"/>
  <c r="M44" i="3"/>
  <c r="I56" i="11" s="1"/>
  <c r="H56" i="11"/>
  <c r="M43" i="3"/>
  <c r="I55" i="11" s="1"/>
  <c r="H55" i="11"/>
  <c r="G52" i="12"/>
  <c r="I52" i="12" s="1"/>
  <c r="H52" i="12"/>
  <c r="G51" i="12"/>
  <c r="I51" i="12" s="1"/>
  <c r="H51" i="12"/>
  <c r="M42" i="3"/>
  <c r="I54" i="11" s="1"/>
  <c r="H54" i="11"/>
  <c r="M41" i="3"/>
  <c r="I53" i="11" s="1"/>
  <c r="H53" i="11"/>
  <c r="H50" i="12"/>
  <c r="G50" i="12"/>
  <c r="I50" i="12" s="1"/>
  <c r="M40" i="3"/>
  <c r="I52" i="11" s="1"/>
  <c r="H52" i="11"/>
  <c r="H49" i="12"/>
  <c r="G49" i="12"/>
  <c r="I49" i="12" s="1"/>
  <c r="G48" i="12"/>
  <c r="I48" i="12" s="1"/>
  <c r="H48" i="12"/>
  <c r="M39" i="3"/>
  <c r="I51" i="11" s="1"/>
  <c r="H51" i="11"/>
  <c r="H47" i="12"/>
  <c r="G47" i="12"/>
  <c r="I47" i="12" s="1"/>
  <c r="M38" i="3"/>
  <c r="I50" i="11" s="1"/>
  <c r="H50" i="11"/>
  <c r="M37" i="3"/>
  <c r="I49" i="11" s="1"/>
  <c r="H49" i="11"/>
  <c r="H46" i="12"/>
  <c r="G46" i="12"/>
  <c r="I46" i="12" s="1"/>
  <c r="G45" i="12"/>
  <c r="I45" i="12" s="1"/>
  <c r="H45" i="12"/>
  <c r="M36" i="3"/>
  <c r="I48" i="11" s="1"/>
  <c r="H48" i="11"/>
  <c r="M35" i="3"/>
  <c r="I47" i="11" s="1"/>
  <c r="H47" i="11"/>
  <c r="H44" i="12"/>
  <c r="G44" i="12"/>
  <c r="I44" i="12" s="1"/>
  <c r="M34" i="3"/>
  <c r="I46" i="11" s="1"/>
  <c r="H46" i="11"/>
  <c r="G43" i="12"/>
  <c r="I43" i="12" s="1"/>
  <c r="H43" i="12"/>
  <c r="M33" i="3"/>
  <c r="I45" i="11" s="1"/>
  <c r="H45" i="11"/>
  <c r="G42" i="12"/>
  <c r="I42" i="12" s="1"/>
  <c r="H42" i="12"/>
  <c r="G41" i="12"/>
  <c r="I41" i="12" s="1"/>
  <c r="H41" i="12"/>
  <c r="M32" i="3"/>
  <c r="I44" i="11" s="1"/>
  <c r="H44" i="11"/>
  <c r="G40" i="12"/>
  <c r="I40" i="12" s="1"/>
  <c r="H40" i="12"/>
  <c r="M31" i="3"/>
  <c r="I43" i="11" s="1"/>
  <c r="H43" i="11"/>
  <c r="M30" i="3"/>
  <c r="I42" i="11" s="1"/>
  <c r="H42" i="11"/>
  <c r="G39" i="12"/>
  <c r="I39" i="12" s="1"/>
  <c r="H39" i="12"/>
  <c r="G38" i="12"/>
  <c r="I38" i="12" s="1"/>
  <c r="H38" i="12"/>
  <c r="M29" i="3"/>
  <c r="I41" i="11" s="1"/>
  <c r="H41" i="11"/>
  <c r="G37" i="12"/>
  <c r="I37" i="12" s="1"/>
  <c r="H37" i="12"/>
  <c r="M28" i="3"/>
  <c r="I40" i="11" s="1"/>
  <c r="H40" i="11"/>
  <c r="G36" i="12"/>
  <c r="I36" i="12" s="1"/>
  <c r="H36" i="12"/>
  <c r="M27" i="3"/>
  <c r="I39" i="11" s="1"/>
  <c r="H39" i="11"/>
  <c r="G35" i="12"/>
  <c r="I35" i="12" s="1"/>
  <c r="H35" i="12"/>
  <c r="M26" i="3"/>
  <c r="I38" i="11" s="1"/>
  <c r="H38" i="11"/>
  <c r="G34" i="12"/>
  <c r="I34" i="12" s="1"/>
  <c r="H34" i="12"/>
  <c r="M25" i="3"/>
  <c r="I37" i="11" s="1"/>
  <c r="H37" i="11"/>
  <c r="M24" i="3"/>
  <c r="I36" i="11" s="1"/>
  <c r="H36" i="11"/>
  <c r="G33" i="12"/>
  <c r="I33" i="12" s="1"/>
  <c r="H33" i="12"/>
  <c r="M23" i="3"/>
  <c r="I35" i="11" s="1"/>
  <c r="H35" i="11"/>
  <c r="G32" i="12"/>
  <c r="I32" i="12" s="1"/>
  <c r="H32" i="12"/>
  <c r="M22" i="3"/>
  <c r="I34" i="11" s="1"/>
  <c r="H34" i="11"/>
  <c r="G31" i="12"/>
  <c r="I31" i="12" s="1"/>
  <c r="H31" i="12"/>
  <c r="G30" i="12"/>
  <c r="I30" i="12" s="1"/>
  <c r="H30" i="12"/>
  <c r="M21" i="3"/>
  <c r="I33" i="11" s="1"/>
  <c r="H33" i="11"/>
  <c r="G29" i="12"/>
  <c r="I29" i="12" s="1"/>
  <c r="H29" i="12"/>
  <c r="M20" i="3"/>
  <c r="I32" i="11" s="1"/>
  <c r="H32" i="11"/>
  <c r="G28" i="12"/>
  <c r="I28" i="12" s="1"/>
  <c r="H28" i="12"/>
  <c r="M19" i="3"/>
  <c r="I31" i="11" s="1"/>
  <c r="H31" i="11"/>
  <c r="G27" i="12"/>
  <c r="I27" i="12" s="1"/>
  <c r="H27" i="12"/>
  <c r="M18" i="3"/>
  <c r="I30" i="11" s="1"/>
  <c r="H30" i="11"/>
  <c r="G26" i="12"/>
  <c r="I26" i="12" s="1"/>
  <c r="H26" i="12"/>
  <c r="M17" i="3"/>
  <c r="I29" i="11" s="1"/>
  <c r="H29" i="11"/>
  <c r="G25" i="12"/>
  <c r="I25" i="12" s="1"/>
  <c r="H25" i="12"/>
  <c r="M16" i="3"/>
  <c r="I28" i="11" s="1"/>
  <c r="H28" i="11"/>
  <c r="G24" i="12"/>
  <c r="I24" i="12" s="1"/>
  <c r="H24" i="12"/>
  <c r="M15" i="3"/>
  <c r="I27" i="11" s="1"/>
  <c r="H27" i="11"/>
  <c r="G23" i="12"/>
  <c r="I23" i="12" s="1"/>
  <c r="H23" i="12"/>
  <c r="M14" i="3"/>
  <c r="I26" i="11" s="1"/>
  <c r="H26" i="11"/>
  <c r="M13" i="3"/>
  <c r="I25" i="11" s="1"/>
  <c r="H25" i="11"/>
  <c r="G22" i="12"/>
  <c r="I22" i="12" s="1"/>
  <c r="H22" i="12"/>
  <c r="M12" i="3"/>
  <c r="I24" i="11" s="1"/>
  <c r="H24" i="11"/>
  <c r="G21" i="12"/>
  <c r="I21" i="12" s="1"/>
  <c r="H21" i="12"/>
  <c r="M11" i="3"/>
  <c r="I23" i="11" s="1"/>
  <c r="H23" i="11"/>
  <c r="G20" i="12"/>
  <c r="I20" i="12" s="1"/>
  <c r="H20" i="12"/>
  <c r="M10" i="3"/>
  <c r="I22" i="11" s="1"/>
  <c r="H22" i="11"/>
  <c r="G19" i="12"/>
  <c r="I19" i="12" s="1"/>
  <c r="H19" i="12"/>
  <c r="M9" i="3"/>
  <c r="I21" i="11" s="1"/>
  <c r="H21" i="11"/>
  <c r="G18" i="12"/>
  <c r="I18" i="12" s="1"/>
  <c r="H18" i="12"/>
  <c r="M8" i="3"/>
  <c r="I20" i="11" s="1"/>
  <c r="H20" i="11"/>
  <c r="G17" i="12"/>
  <c r="I17" i="12" s="1"/>
  <c r="H17" i="12"/>
  <c r="M7" i="3"/>
  <c r="I19" i="11" s="1"/>
  <c r="H19" i="11"/>
  <c r="G16" i="12"/>
  <c r="I16" i="12" s="1"/>
  <c r="H16" i="12"/>
  <c r="M6" i="3"/>
  <c r="I18" i="11" s="1"/>
  <c r="L59" i="3"/>
  <c r="L60" i="3"/>
  <c r="E11" i="11"/>
  <c r="H18" i="11"/>
  <c r="G15" i="12"/>
  <c r="H15" i="12"/>
  <c r="E67" i="12"/>
  <c r="G70" i="11"/>
  <c r="C8" i="1" l="1"/>
  <c r="B113" i="9"/>
  <c r="H111" i="9"/>
  <c r="J111" i="9"/>
  <c r="K6" i="5"/>
  <c r="B14" i="5"/>
  <c r="E64" i="7"/>
  <c r="F64" i="7" s="1"/>
  <c r="G64" i="7"/>
  <c r="H64" i="7"/>
  <c r="E65" i="7"/>
  <c r="F65" i="7" s="1"/>
  <c r="I65" i="7" s="1"/>
  <c r="G65" i="7"/>
  <c r="H65" i="7"/>
  <c r="E66" i="7"/>
  <c r="F66" i="7" s="1"/>
  <c r="I66" i="7" s="1"/>
  <c r="G66" i="7"/>
  <c r="H66" i="7"/>
  <c r="E67" i="7"/>
  <c r="F67" i="7" s="1"/>
  <c r="I67" i="7" s="1"/>
  <c r="G67" i="7"/>
  <c r="H67" i="7"/>
  <c r="E68" i="7"/>
  <c r="F68" i="7" s="1"/>
  <c r="G68" i="7"/>
  <c r="H68" i="7"/>
  <c r="C72" i="7"/>
  <c r="D17" i="7" s="1"/>
  <c r="C21" i="7" s="1"/>
  <c r="C17" i="7"/>
  <c r="C78" i="7"/>
  <c r="F17" i="7" s="1"/>
  <c r="E17" i="7"/>
  <c r="M59" i="3"/>
  <c r="E8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4" i="11"/>
  <c r="J36" i="11"/>
  <c r="J44" i="11"/>
  <c r="J53" i="11"/>
  <c r="J54" i="11"/>
  <c r="J55" i="11"/>
  <c r="J56" i="11"/>
  <c r="J57" i="11"/>
  <c r="J58" i="11"/>
  <c r="J59" i="11"/>
  <c r="J60" i="11"/>
  <c r="J61" i="11"/>
  <c r="J62" i="11"/>
  <c r="J39" i="11"/>
  <c r="J40" i="11"/>
  <c r="J42" i="11"/>
  <c r="J41" i="11"/>
  <c r="J49" i="11"/>
  <c r="J31" i="11"/>
  <c r="J35" i="11"/>
  <c r="J38" i="11"/>
  <c r="J63" i="11"/>
  <c r="J64" i="11"/>
  <c r="J65" i="11"/>
  <c r="J66" i="11"/>
  <c r="J33" i="11"/>
  <c r="J37" i="11"/>
  <c r="J48" i="11"/>
  <c r="J50" i="11"/>
  <c r="J51" i="11"/>
  <c r="J67" i="11"/>
  <c r="J68" i="11"/>
  <c r="H70" i="11"/>
  <c r="I70" i="11" s="1"/>
  <c r="J30" i="11"/>
  <c r="J32" i="11"/>
  <c r="J43" i="11"/>
  <c r="J45" i="11"/>
  <c r="J46" i="11"/>
  <c r="J47" i="11"/>
  <c r="J52" i="11"/>
  <c r="J69" i="11"/>
  <c r="I15" i="12"/>
  <c r="I67" i="12" s="1"/>
  <c r="G67" i="12"/>
  <c r="H67" i="12"/>
  <c r="I68" i="7" l="1"/>
  <c r="C19" i="7"/>
  <c r="E9" i="11"/>
  <c r="C20" i="1" s="1"/>
  <c r="C19" i="1"/>
  <c r="E10" i="11"/>
  <c r="G7" i="12"/>
  <c r="G10" i="12"/>
  <c r="C23" i="1" s="1"/>
  <c r="G6" i="12"/>
  <c r="C21" i="1" s="1"/>
  <c r="G9" i="12"/>
  <c r="B23" i="7" l="1"/>
  <c r="C20" i="7"/>
  <c r="C10" i="1"/>
  <c r="C22" i="1"/>
  <c r="G8" i="12"/>
</calcChain>
</file>

<file path=xl/sharedStrings.xml><?xml version="1.0" encoding="utf-8"?>
<sst xmlns="http://schemas.openxmlformats.org/spreadsheetml/2006/main" count="567" uniqueCount="253">
  <si>
    <t>ThermoPlex S.A. – M&amp;V do retrofit (PEE/ANEEL): resumo dos resultados</t>
  </si>
  <si>
    <t>Todos os valores abaixo são fórmulas ligadas às abas de cálculo (nenhum número digitado); as escolhas (variável mais correlacionada, variáveis mantidas) são decididas por fórmula.</t>
  </si>
  <si>
    <t>Resultado</t>
  </si>
  <si>
    <t>Valor</t>
  </si>
  <si>
    <t>Aba de origem</t>
  </si>
  <si>
    <t>Variável mais correlacionada com EE (maior |r|)</t>
  </si>
  <si>
    <t>4.1a</t>
  </si>
  <si>
    <t>r de Pearson dessa variável com EE</t>
  </si>
  <si>
    <t>Variáveis mantidas após a eliminação (p &lt; α)</t>
  </si>
  <si>
    <t>4.2b</t>
  </si>
  <si>
    <t>Parcela da UR explicada pela Temp (R² de UR ~ Temp)</t>
  </si>
  <si>
    <t>4.1d</t>
  </si>
  <si>
    <t>p-valor da parte da UR não explicada pela Temp (UR⊥)</t>
  </si>
  <si>
    <t>Intercepto β0 (MWh/sem)</t>
  </si>
  <si>
    <t>4.2c</t>
  </si>
  <si>
    <t>β1 – P1 (MWh por mil unid.)</t>
  </si>
  <si>
    <t>β2 – P2 (MWh por mil unid.)</t>
  </si>
  <si>
    <t>β3 – Temp (MWh/°C)</t>
  </si>
  <si>
    <t>R² do modelo final</t>
  </si>
  <si>
    <t>R² ajustado</t>
  </si>
  <si>
    <t>CV(RMSE)</t>
  </si>
  <si>
    <t>Atende R² &gt; 0,75 e CV(RMSE) &lt; 15 %?</t>
  </si>
  <si>
    <t>Economia evitada Ano 1 (MWh)</t>
  </si>
  <si>
    <t>4.3</t>
  </si>
  <si>
    <t>Redução vs. LB ajustada</t>
  </si>
  <si>
    <t>Economia com cenário da extrusora, SEM ANR (MWh)</t>
  </si>
  <si>
    <t>4.4</t>
  </si>
  <si>
    <t>Economia com cenário da extrusora, COM ANR (MWh)</t>
  </si>
  <si>
    <t>Redução COM ANR</t>
  </si>
  <si>
    <t>Premissa (editável)</t>
  </si>
  <si>
    <t>Usada em</t>
  </si>
  <si>
    <t>Nível de significância α (testes de hipótese e IC)</t>
  </si>
  <si>
    <t>4.1a, 4.1b, 4.1d, 4.2a, 4.2b, 4.2c</t>
  </si>
  <si>
    <t>ThermoPlex S.A. — Dados da Linha de Base (Ano 0)</t>
  </si>
  <si>
    <t>Série temporal de 52 semanas para modelagem da curva de carga e determinação do consumo de referência.</t>
  </si>
  <si>
    <t>Semana</t>
  </si>
  <si>
    <t>Consumo EE (MWh)</t>
  </si>
  <si>
    <t>P1 (mil unid)</t>
  </si>
  <si>
    <t>P2 (mil unid)</t>
  </si>
  <si>
    <t>P3 (mil unid)</t>
  </si>
  <si>
    <t>P4 (mil unid)</t>
  </si>
  <si>
    <t>P5 (mil unid)</t>
  </si>
  <si>
    <t>Temp Amb (°C)</t>
  </si>
  <si>
    <t>Umidade Rel (%)</t>
  </si>
  <si>
    <t>TOTAL ANUAL</t>
  </si>
  <si>
    <t>MÉDIA SEMANAL</t>
  </si>
  <si>
    <t>MÍNIMO</t>
  </si>
  <si>
    <t>MÁXIMO</t>
  </si>
  <si>
    <t>ThermoPlex S.A. — Período de Determinação Pós-AEE (Ano 1)</t>
  </si>
  <si>
    <t>Medições reais de consumo elétrico pós-projeto e cálculo do Consumo Evitado via Linha de Base Ajustada.</t>
  </si>
  <si>
    <t>Consumo Medido (MWh)</t>
  </si>
  <si>
    <t>LB Ajustada (MWh)</t>
  </si>
  <si>
    <t>Economia (MWh)</t>
  </si>
  <si>
    <t>Economia (%)</t>
  </si>
  <si>
    <t>Questão 4.1.a – Matriz de Correlação de Pearson (Ano 0, n = 52 semanas)</t>
  </si>
  <si>
    <t>Memória de cálculo: r = CORREL(x; y) = Σ(x−x̄)(y−ȳ) / √[Σ(x−x̄)²·Σ(y−ȳ)²]. Varia de −1 a +1: o sinal dá o sentido da relação e o módulo, a intensidade linear. A matriz é simétrica e a diagonal vale 1 (cada variável com ela mesma); a coluna "EE (MWh)" mostra quais variáveis acompanham o consumo. Cores: azul = negativo, branco = 0, laranja = positivo.</t>
  </si>
  <si>
    <t>EE (MWh)</t>
  </si>
  <si>
    <t>P1</t>
  </si>
  <si>
    <t>P2</t>
  </si>
  <si>
    <t>P3</t>
  </si>
  <si>
    <t>P4</t>
  </si>
  <si>
    <t>P5</t>
  </si>
  <si>
    <t>Temp</t>
  </si>
  <si>
    <t>UR</t>
  </si>
  <si>
    <t>Correlação de EE com cada variável e teste de significância (H0: ρ = 0)</t>
  </si>
  <si>
    <t>Variável</t>
  </si>
  <si>
    <t>r (com EE)</t>
  </si>
  <si>
    <t>r²</t>
  </si>
  <si>
    <t>|r|</t>
  </si>
  <si>
    <t>t = r·√(n−2)/√(1−r²)</t>
  </si>
  <si>
    <t>p-valor</t>
  </si>
  <si>
    <t>Classe</t>
  </si>
  <si>
    <t>Significativa (p &lt; α)?</t>
  </si>
  <si>
    <t>Ranking |r|</t>
  </si>
  <si>
    <t>P1 (mil unid) – Estrutural Pesada</t>
  </si>
  <si>
    <t>P2 (mil unid) – Média</t>
  </si>
  <si>
    <t>P3 (mil unid) – Leve</t>
  </si>
  <si>
    <t>P4 (mil unid) – Inserções Poliméricas</t>
  </si>
  <si>
    <t>P5 (mil unid) – Acessórios</t>
  </si>
  <si>
    <t>Temp (°C)</t>
  </si>
  <si>
    <t>UR (fração)</t>
  </si>
  <si>
    <t>Colinearidade entre regressores e limiares de classificação</t>
  </si>
  <si>
    <t>r(Temp, UR)</t>
  </si>
  <si>
    <t>Limiar "Forte" (|r| ≥)</t>
  </si>
  <si>
    <t>r² (Temp, UR)</t>
  </si>
  <si>
    <t>Limiar "Moderada" (|r| ≥)</t>
  </si>
  <si>
    <t>VIF par-a-par = 1/(1−r²)</t>
  </si>
  <si>
    <t>Limiar "Fraca" (|r| ≥)</t>
  </si>
  <si>
    <t>r crítico (bilateral, α do Resumo)</t>
  </si>
  <si>
    <t>Questão 4.1.b – Variáveis com impacto direto no consumo (correlação + análise física do processo)</t>
  </si>
  <si>
    <t>Critério em 3 etapas, todas por fórmula: (1) correlação com EE é significativa? (4.1a); (2) o efeito persiste controlando as demais variáveis, isto é, p-valor parcial &lt; α na regressão completa (4.2a)? (3) existe mecanismo físico relevante no processo (coluna "Peso físico", premissa de engenharia, em azul)? "Direto" = (2) e (3) atendidos. Se a correlação é alta mas o efeito parcial não é, e a variável é colinear com outra, o impacto é "Indireto".</t>
  </si>
  <si>
    <t>r com EE (4.1a)</t>
  </si>
  <si>
    <t>Classe de |r|</t>
  </si>
  <si>
    <t>Correlação significativa?</t>
  </si>
  <si>
    <t>Maior |r| com outro regressor</t>
  </si>
  <si>
    <t>Colinear com</t>
  </si>
  <si>
    <t>p-valor parcial (4.2a)</t>
  </si>
  <si>
    <t>Peso físico no processo (premissa)</t>
  </si>
  <si>
    <t>Classificação</t>
  </si>
  <si>
    <t>Decisão</t>
  </si>
  <si>
    <t>Confirmada na eliminação (4.2b)</t>
  </si>
  <si>
    <t>Justificativa física</t>
  </si>
  <si>
    <t>Alto</t>
  </si>
  <si>
    <t>Peça pesada, processo térmico longo: maior massa × tempo de permanência no forno de cura ⇒ maior energia por unidade. Causalidade direta e coeficiente esperado positivo.</t>
  </si>
  <si>
    <t>Médio</t>
  </si>
  <si>
    <t>Peça média, processo térmico médio: mesma lógica de P1, com menor energia unitária. Impacto direto.</t>
  </si>
  <si>
    <t>Baixo</t>
  </si>
  <si>
    <t>Moldagem rápida, peça leve: pouco tempo e pouca massa em forno; carga térmica desprezível frente ao total. Correlação fraca, sem efeito parcial.</t>
  </si>
  <si>
    <t>Inserções poliméricas, volume baixo e variação pequena: energia marginal. Sem efeito parcial detectável.</t>
  </si>
  <si>
    <t>Acessórios e pequenos componentes, volume alto mas energia unitária mínima. A correlação marginal (coluna C) vem de colinearidade com Temp e P1, não de causa direta.</t>
  </si>
  <si>
    <t>Carga térmica ambiente: perdas dos fornos, rejeição de calor e, sobretudo, carga de resfriamento/desumidificação das salas limpas. Variável climática dominante.</t>
  </si>
  <si>
    <t>Influencia a desumidificação, mas acompanha a temperatura (ver aba 4.1d): após controlar Temp, não acrescenta informação.</t>
  </si>
  <si>
    <t>Limiar de colinearidade = limiar "Forte" de |r| da aba 4.1a (I26); α = nome definido "alfa" (Resumo).</t>
  </si>
  <si>
    <t>Questão 4.1.c – Princípio da Parsimônia e graus de liberdade</t>
  </si>
  <si>
    <t>Comparação numérica entre o modelo com 7 variáveis (M1) e o modelo final (M5).</t>
  </si>
  <si>
    <t>Indicador</t>
  </si>
  <si>
    <t>M1 (7 variáveis)</t>
  </si>
  <si>
    <t>M5 (3 variáveis)</t>
  </si>
  <si>
    <t>Comentário</t>
  </si>
  <si>
    <t>Nº de observações (n)</t>
  </si>
  <si>
    <t>Mesmo conjunto de semanas do Ano 0.</t>
  </si>
  <si>
    <t>Nº de variáveis explicativas (k)</t>
  </si>
  <si>
    <t>k = nº de coeficientes angulares (sem o intercepto).</t>
  </si>
  <si>
    <t>Graus de liberdade residuais (n−k−1)</t>
  </si>
  <si>
    <t>Cada variável a mais consome 1 gl que seria usado para estimar a variância do erro.</t>
  </si>
  <si>
    <t>Observações por parâmetro (n/(k+1))</t>
  </si>
  <si>
    <t>Regra prática: ≥ 10 observações por parâmetro; quanto menor a razão, mais incerto o ajuste.</t>
  </si>
  <si>
    <t>R²</t>
  </si>
  <si>
    <t>R² de M1 é maior só por construção (nunca diminui ao incluir variáveis).</t>
  </si>
  <si>
    <t>Penaliza complexidade: M5 é melhor que M1.</t>
  </si>
  <si>
    <t>RMSE (MWh)</t>
  </si>
  <si>
    <t>Praticamente iguais: as variáveis retiradas não explicam nada a mais.</t>
  </si>
  <si>
    <t>Maior p-valor entre as variáveis</t>
  </si>
  <si>
    <t>M1 contém variáveis não significativas (p≫0,05).</t>
  </si>
  <si>
    <t>Erro-padrão do coeficiente de Temp</t>
  </si>
  <si>
    <t>Em M1, a colinearidade com UR infla a incerteza do coeficiente de Temp.</t>
  </si>
  <si>
    <t>Erro-padrão do coeficiente de UR / Temp (M1)</t>
  </si>
  <si>
    <t>—</t>
  </si>
  <si>
    <t>Questão 4.1 (complemento) – Dependência entre temperatura e umidade relativa</t>
  </si>
  <si>
    <t>Pergunta: a UR pode ser tratada como função da Temp e eliminada do modelo? Testes: (1) regressão auxiliar UR = a + b·Temp; (2) comparação de modelos; (3) significância da parte da UR não explicada por Temp (UR⊥).</t>
  </si>
  <si>
    <t>Regressão auxiliar: UR = a + b·Temp</t>
  </si>
  <si>
    <t>Intercepto a</t>
  </si>
  <si>
    <t>Inclinação b (fração de UR por °C)</t>
  </si>
  <si>
    <t>r (Temp, UR)</t>
  </si>
  <si>
    <t>R² (parcela da UR explicada pela Temp)</t>
  </si>
  <si>
    <t>Erro-padrão da estimativa de UR</t>
  </si>
  <si>
    <t>VIF par-a-par = 1/(1−R²)</t>
  </si>
  <si>
    <t>Comparação de modelos</t>
  </si>
  <si>
    <t>Modelo</t>
  </si>
  <si>
    <t>A – P1, P2, Temp</t>
  </si>
  <si>
    <t>B – P1, P2, UR</t>
  </si>
  <si>
    <t>C – P1, P2, Temp + UR⊥</t>
  </si>
  <si>
    <t>p-valor de UR⊥ no modelo C</t>
  </si>
  <si>
    <t>UR⊥ acrescenta informação (p &lt; α)?</t>
  </si>
  <si>
    <t>Melhor modelo (maior R² ajustado)</t>
  </si>
  <si>
    <t>Modelo A – P1, P2, Temp (adotado)</t>
  </si>
  <si>
    <t>Termo</t>
  </si>
  <si>
    <t>Coeficiente</t>
  </si>
  <si>
    <t>Erro-padrão</t>
  </si>
  <si>
    <t>t-stat</t>
  </si>
  <si>
    <t>IC95% inf.</t>
  </si>
  <si>
    <t>IC95% sup.</t>
  </si>
  <si>
    <t>Decisão (p &lt; α)</t>
  </si>
  <si>
    <t>Intercepto</t>
  </si>
  <si>
    <t>Estatísticas do modelo</t>
  </si>
  <si>
    <t>Erro-padrão da regressão, RMSE (MWh)</t>
  </si>
  <si>
    <t>Estatística F</t>
  </si>
  <si>
    <t>Graus de liberdade (n−k−1)</t>
  </si>
  <si>
    <t>SQ regressão</t>
  </si>
  <si>
    <t>SQ resíduo</t>
  </si>
  <si>
    <t>Modelo B – troca Temp por UR: P1, P2, UR</t>
  </si>
  <si>
    <t>Modelo C – P1, P2, Temp + UR⊥ (parte da UR não explicada por Temp)</t>
  </si>
  <si>
    <t>UR⊥ (resíduo de UR ~ Temp)</t>
  </si>
  <si>
    <t>Questão 4.2.a – Regressão Linear Múltipla (Ano 0) com as 7 variáveis</t>
  </si>
  <si>
    <t>Memória de cálculo: =INDEX(LINEST(EE; X; VERDADEIRO; VERDADEIRO); linha; coluna). Equivale à ferramenta "Regressão" do Excel.</t>
  </si>
  <si>
    <t>Modelo M1 – todas as variáveis</t>
  </si>
  <si>
    <t>Questão 4.2.b – Filtragem por significância (eliminação regressiva, critério p &lt; α; α = 0,05 no Resumo)</t>
  </si>
  <si>
    <t>A cada iteração remove-se a variável de maior p-valor (se &gt; α) e o modelo é reajustado. Para quando todas as variáveis forem significativas. A coluna "Consistência" confere se a variável removida saiu mesmo do bloco seguinte.</t>
  </si>
  <si>
    <t>Iteração 1 – 7 variáveis</t>
  </si>
  <si>
    <t>Iteração 2 – sem P5</t>
  </si>
  <si>
    <t>Iteração 3 – sem P5, P3</t>
  </si>
  <si>
    <t>Iteração 4 – sem P5, P3, P4</t>
  </si>
  <si>
    <t>Iteração 5 – sem P5, P3, P4, UR (modelo final)</t>
  </si>
  <si>
    <t>Resumo das iterações</t>
  </si>
  <si>
    <t>Iteração</t>
  </si>
  <si>
    <t>Maior p-valor (var.)</t>
  </si>
  <si>
    <t>Variável removida</t>
  </si>
  <si>
    <t>Nº var.</t>
  </si>
  <si>
    <t>Consistência</t>
  </si>
  <si>
    <t>Variáveis mantidas no modelo final (p &lt; α)</t>
  </si>
  <si>
    <t>Questão 4.2.c – Equação da Linha de Base e validação PIMVP/PROPEE</t>
  </si>
  <si>
    <t>EE_LB = β0 + β1·P1 + β2·P2 + β3·Temp  (variáveis que restaram da eliminação em 4.2b; coeficientes obtidos por LINEST sobre as semanas do Ano 0).</t>
  </si>
  <si>
    <t>Coeficientes do modelo final</t>
  </si>
  <si>
    <t>Equação final (texto)</t>
  </si>
  <si>
    <t>Validação frente ao PIMVP/PROPEE</t>
  </si>
  <si>
    <t>Critério</t>
  </si>
  <si>
    <t>Valor obtido</t>
  </si>
  <si>
    <t>Limite</t>
  </si>
  <si>
    <t>R² (&gt; 0,75)</t>
  </si>
  <si>
    <t>CV(RMSE) (&lt; 15 %)</t>
  </si>
  <si>
    <t>|t| de todos os coeficientes (&gt; 2,0)</t>
  </si>
  <si>
    <t>Viés médio (NMBE) – deve ser ≈ 0</t>
  </si>
  <si>
    <t>Durbin-Watson (resíduos; ≈2 = sem autocorrelação)</t>
  </si>
  <si>
    <t>Média do consumo medido (MWh/sem)</t>
  </si>
  <si>
    <t>Conferência: RMSE = √(SQ resíduo / gl) (MWh)</t>
  </si>
  <si>
    <t>Previsto (MWh)</t>
  </si>
  <si>
    <t>Resíduo (MWh)</t>
  </si>
  <si>
    <t>Resíduo²</t>
  </si>
  <si>
    <t>Medido (MWh)</t>
  </si>
  <si>
    <t>Questão 4.3 – Economia evitada no Ano 1 (Linha de Base ajustada às condições reais)</t>
  </si>
  <si>
    <t>EE_LB,aj(s) = β0 + β1·P1(s) + β2·P2(s) + β3·Temp(s);  ΔEE(s) = EE_LB,aj(s) − EE_medido(s). Os valores vêm da aba "Ano 1 - Pós-AEE" (colunas J:L).</t>
  </si>
  <si>
    <t>Indicadores</t>
  </si>
  <si>
    <t>Consumo medido Ano 1 (MWh)</t>
  </si>
  <si>
    <t>Linha de Base ajustada Ano 1 (MWh)</t>
  </si>
  <si>
    <t>Economia total acumulada (MWh)</t>
  </si>
  <si>
    <t>Redução vs. LB ajustada (%)</t>
  </si>
  <si>
    <t>Economia média semanal (MWh)</t>
  </si>
  <si>
    <t>Semanas com economia &gt; 0</t>
  </si>
  <si>
    <t>Consumo medido Ano 0 (MWh) – referência bruta</t>
  </si>
  <si>
    <t>Redução bruta Ano 1 vs. Ano 0 (sem ajuste) (%)</t>
  </si>
  <si>
    <t>Consumo medido</t>
  </si>
  <si>
    <t>LB ajustada</t>
  </si>
  <si>
    <t>Economia acumulada</t>
  </si>
  <si>
    <t>TOTAL</t>
  </si>
  <si>
    <t>Questão 4.4 – Análise crítica e Ajuste Não de Rotina (nova extrusora, +15 MWh/semana a partir da semana 30)</t>
  </si>
  <si>
    <t>Células em azul são premissas editáveis (semana de início e carga da extrusora).</t>
  </si>
  <si>
    <t>Premissas</t>
  </si>
  <si>
    <t>Comparação</t>
  </si>
  <si>
    <t>Semana de início da extrusora</t>
  </si>
  <si>
    <t>Economia sem ANR (MWh)</t>
  </si>
  <si>
    <t>Carga fixa da extrusora (MWh/semana)</t>
  </si>
  <si>
    <t>Economia com ANR (MWh)</t>
  </si>
  <si>
    <t>Nº de semanas afetadas</t>
  </si>
  <si>
    <t>Subestimativa evitada (MWh)</t>
  </si>
  <si>
    <t>ANR total (MWh) = carga × semanas</t>
  </si>
  <si>
    <t>% sem ANR (sobre LB ajustada)</t>
  </si>
  <si>
    <t>% com ANR (sobre LB + ANR)</t>
  </si>
  <si>
    <t>Consumo medido registrado</t>
  </si>
  <si>
    <t>Consumo medido c/ extrusora</t>
  </si>
  <si>
    <t>LB ajustada (4.3)</t>
  </si>
  <si>
    <t>ANR (MWh)</t>
  </si>
  <si>
    <t>LB ajustada + ANR</t>
  </si>
  <si>
    <t>Economia SEM ANR (subestimada)</t>
  </si>
  <si>
    <t>Economia COM ANR</t>
  </si>
  <si>
    <t>Aux_X – Blocos contíguos de regressores (referências às abas de dados; exigência do LINEST)</t>
  </si>
  <si>
    <t>Cada bloco é um conjunto de variáveis em colunas adjacentes usado nas iterações da eliminação regressiva (4.2b) e no modelo final (4.2c). Cada bloco é montado conforme a variável removida na iteração anterior (ver coluna "Consistência" em 4.2b).</t>
  </si>
  <si>
    <t>M2</t>
  </si>
  <si>
    <t>M3</t>
  </si>
  <si>
    <t>M4</t>
  </si>
  <si>
    <t>M5</t>
  </si>
  <si>
    <t>M6 (1d)</t>
  </si>
  <si>
    <t>M7 (1d)</t>
  </si>
  <si>
    <t>UR⊥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</si>
</sst>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"/>
    <numFmt numFmtId="165" formatCode="0.000"/>
    <numFmt numFmtId="166" formatCode="0.0000"/>
    <numFmt numFmtId="167" formatCode="0.0"/>
    <numFmt numFmtId="168" formatCode="0.0%"/>
    <numFmt numFmtId="169" formatCode="0.0000%"/>
    <numFmt numFmtId="170" formatCode="0.00000"/>
  </numFmts>
  <fonts count="24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F4E78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b/>
      <sz val="11"/>
      <color rgb="FF595959"/>
      <name val="Arial"/>
      <charset val="1"/>
    </font>
    <font>
      <b/>
      <sz val="10"/>
      <color rgb="FF0000FF"/>
      <name val="Arial"/>
      <charset val="1"/>
    </font>
    <font>
      <b/>
      <sz val="10"/>
      <name val="Arial"/>
      <family val="2"/>
    </font>
    <font>
      <b/>
      <sz val="10"/>
      <color rgb="FF595959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595959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theme="0" tint="-0.14999847407452621"/>
        <bgColor theme="0" tint="-0.14999847407452621"/>
      </patternFill>
    </fill>
  </fills>
  <borders count="6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28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right" vertical="center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/>
    <xf numFmtId="2" fontId="5" fillId="0" borderId="1" xfId="0" applyNumberFormat="1" applyFont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5" fillId="0" borderId="8" xfId="0" applyFont="1" applyBorder="1"/>
    <xf numFmtId="165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67" fontId="5" fillId="0" borderId="12" xfId="0" applyNumberFormat="1" applyFont="1" applyBorder="1" applyAlignment="1">
      <alignment horizontal="center"/>
    </xf>
    <xf numFmtId="168" fontId="5" fillId="0" borderId="12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67" fontId="5" fillId="0" borderId="14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6" fillId="0" borderId="17" xfId="0" applyNumberFormat="1" applyFont="1" applyBorder="1" applyAlignment="1">
      <alignment horizontal="center"/>
    </xf>
    <xf numFmtId="10" fontId="6" fillId="0" borderId="17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67" fontId="5" fillId="0" borderId="23" xfId="0" applyNumberFormat="1" applyFont="1" applyBorder="1" applyAlignment="1">
      <alignment horizontal="center"/>
    </xf>
    <xf numFmtId="168" fontId="5" fillId="0" borderId="23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center"/>
    </xf>
    <xf numFmtId="164" fontId="10" fillId="5" borderId="12" xfId="0" applyNumberFormat="1" applyFont="1" applyFill="1" applyBorder="1" applyAlignment="1">
      <alignment horizontal="center" vertical="center"/>
    </xf>
    <xf numFmtId="3" fontId="10" fillId="0" borderId="28" xfId="0" applyNumberFormat="1" applyFont="1" applyBorder="1" applyAlignment="1">
      <alignment horizontal="center" vertical="center"/>
    </xf>
    <xf numFmtId="3" fontId="10" fillId="5" borderId="28" xfId="0" applyNumberFormat="1" applyFont="1" applyFill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168" fontId="10" fillId="5" borderId="29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3" fontId="10" fillId="5" borderId="32" xfId="0" applyNumberFormat="1" applyFont="1" applyFill="1" applyBorder="1" applyAlignment="1">
      <alignment horizontal="center" vertical="center"/>
    </xf>
    <xf numFmtId="164" fontId="10" fillId="5" borderId="33" xfId="0" applyNumberFormat="1" applyFont="1" applyFill="1" applyBorder="1" applyAlignment="1">
      <alignment horizontal="center" vertical="center"/>
    </xf>
    <xf numFmtId="168" fontId="10" fillId="5" borderId="34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6" fillId="0" borderId="16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168" fontId="11" fillId="0" borderId="2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168" fontId="10" fillId="0" borderId="18" xfId="0" applyNumberFormat="1" applyFont="1" applyBorder="1" applyAlignment="1">
      <alignment horizontal="center" vertical="center"/>
    </xf>
    <xf numFmtId="43" fontId="1" fillId="0" borderId="27" xfId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164" fontId="10" fillId="0" borderId="14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/>
    </xf>
    <xf numFmtId="164" fontId="12" fillId="0" borderId="26" xfId="0" applyNumberFormat="1" applyFont="1" applyBorder="1" applyAlignment="1">
      <alignment horizontal="center" vertical="center"/>
    </xf>
    <xf numFmtId="168" fontId="12" fillId="0" borderId="27" xfId="0" applyNumberFormat="1" applyFont="1" applyBorder="1" applyAlignment="1">
      <alignment horizontal="center" vertical="center"/>
    </xf>
    <xf numFmtId="167" fontId="19" fillId="3" borderId="12" xfId="0" applyNumberFormat="1" applyFont="1" applyFill="1" applyBorder="1" applyAlignment="1">
      <alignment horizontal="center" vertical="center"/>
    </xf>
    <xf numFmtId="167" fontId="19" fillId="3" borderId="20" xfId="0" applyNumberFormat="1" applyFont="1" applyFill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8" fontId="10" fillId="0" borderId="31" xfId="0" applyNumberFormat="1" applyFont="1" applyBorder="1" applyAlignment="1">
      <alignment horizontal="center" vertical="center"/>
    </xf>
    <xf numFmtId="167" fontId="19" fillId="3" borderId="22" xfId="0" applyNumberFormat="1" applyFont="1" applyFill="1" applyBorder="1" applyAlignment="1">
      <alignment horizontal="center" vertical="center"/>
    </xf>
    <xf numFmtId="167" fontId="19" fillId="3" borderId="23" xfId="0" applyNumberFormat="1" applyFont="1" applyFill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12" fillId="0" borderId="17" xfId="0" applyNumberFormat="1" applyFont="1" applyBorder="1" applyAlignment="1">
      <alignment horizontal="center" vertical="center"/>
    </xf>
    <xf numFmtId="168" fontId="12" fillId="0" borderId="17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/>
    </xf>
    <xf numFmtId="165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66" fontId="6" fillId="3" borderId="12" xfId="0" applyNumberFormat="1" applyFont="1" applyFill="1" applyBorder="1" applyAlignment="1">
      <alignment horizontal="center" vertical="center" wrapText="1"/>
    </xf>
    <xf numFmtId="10" fontId="6" fillId="3" borderId="12" xfId="0" applyNumberFormat="1" applyFont="1" applyFill="1" applyBorder="1" applyAlignment="1">
      <alignment horizontal="center" vertical="center" wrapText="1"/>
    </xf>
    <xf numFmtId="164" fontId="6" fillId="3" borderId="12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10" fontId="6" fillId="3" borderId="17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17" fillId="4" borderId="39" xfId="0" applyFont="1" applyFill="1" applyBorder="1" applyAlignment="1">
      <alignment horizontal="center" vertical="center"/>
    </xf>
    <xf numFmtId="3" fontId="10" fillId="0" borderId="30" xfId="0" applyNumberFormat="1" applyFont="1" applyBorder="1" applyAlignment="1">
      <alignment horizontal="center" vertical="center"/>
    </xf>
    <xf numFmtId="168" fontId="19" fillId="3" borderId="31" xfId="0" applyNumberFormat="1" applyFont="1" applyFill="1" applyBorder="1" applyAlignment="1">
      <alignment horizontal="center" vertical="center"/>
    </xf>
    <xf numFmtId="168" fontId="19" fillId="3" borderId="29" xfId="0" applyNumberFormat="1" applyFont="1" applyFill="1" applyBorder="1" applyAlignment="1">
      <alignment horizontal="center" vertical="center"/>
    </xf>
    <xf numFmtId="164" fontId="10" fillId="0" borderId="33" xfId="0" applyNumberFormat="1" applyFont="1" applyBorder="1" applyAlignment="1">
      <alignment horizontal="center" vertical="center"/>
    </xf>
    <xf numFmtId="167" fontId="19" fillId="3" borderId="40" xfId="0" applyNumberFormat="1" applyFont="1" applyFill="1" applyBorder="1" applyAlignment="1">
      <alignment horizontal="center" vertical="center"/>
    </xf>
    <xf numFmtId="167" fontId="19" fillId="3" borderId="33" xfId="0" applyNumberFormat="1" applyFont="1" applyFill="1" applyBorder="1" applyAlignment="1">
      <alignment horizontal="center" vertical="center"/>
    </xf>
    <xf numFmtId="168" fontId="19" fillId="3" borderId="34" xfId="0" applyNumberFormat="1" applyFont="1" applyFill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 wrapText="1"/>
    </xf>
    <xf numFmtId="166" fontId="5" fillId="0" borderId="1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top" wrapText="1"/>
    </xf>
    <xf numFmtId="166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top" wrapText="1"/>
    </xf>
    <xf numFmtId="1" fontId="5" fillId="0" borderId="12" xfId="0" applyNumberFormat="1" applyFont="1" applyBorder="1" applyAlignment="1">
      <alignment horizontal="center" vertical="center" wrapText="1"/>
    </xf>
    <xf numFmtId="167" fontId="5" fillId="0" borderId="12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/>
    </xf>
    <xf numFmtId="166" fontId="5" fillId="0" borderId="19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66" fontId="5" fillId="0" borderId="12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6" fontId="5" fillId="0" borderId="15" xfId="0" applyNumberFormat="1" applyFont="1" applyBorder="1" applyAlignment="1">
      <alignment horizontal="center"/>
    </xf>
    <xf numFmtId="166" fontId="5" fillId="0" borderId="21" xfId="0" applyNumberFormat="1" applyFont="1" applyBorder="1" applyAlignment="1">
      <alignment horizontal="center"/>
    </xf>
    <xf numFmtId="165" fontId="5" fillId="0" borderId="21" xfId="0" applyNumberFormat="1" applyFont="1" applyBorder="1" applyAlignment="1">
      <alignment horizontal="center"/>
    </xf>
    <xf numFmtId="2" fontId="5" fillId="0" borderId="21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4" fontId="5" fillId="0" borderId="21" xfId="0" applyNumberFormat="1" applyFont="1" applyBorder="1" applyAlignment="1">
      <alignment horizontal="center"/>
    </xf>
    <xf numFmtId="10" fontId="5" fillId="0" borderId="18" xfId="0" applyNumberFormat="1" applyFont="1" applyBorder="1" applyAlignment="1">
      <alignment horizontal="center"/>
    </xf>
    <xf numFmtId="167" fontId="5" fillId="0" borderId="17" xfId="0" applyNumberFormat="1" applyFont="1" applyBorder="1" applyAlignment="1">
      <alignment horizontal="center"/>
    </xf>
    <xf numFmtId="165" fontId="5" fillId="0" borderId="18" xfId="0" applyNumberFormat="1" applyFont="1" applyBorder="1" applyAlignment="1">
      <alignment horizontal="center"/>
    </xf>
    <xf numFmtId="167" fontId="5" fillId="0" borderId="28" xfId="0" applyNumberFormat="1" applyFont="1" applyBorder="1" applyAlignment="1">
      <alignment horizontal="center"/>
    </xf>
    <xf numFmtId="165" fontId="5" fillId="0" borderId="29" xfId="0" applyNumberFormat="1" applyFont="1" applyBorder="1" applyAlignment="1">
      <alignment horizontal="center"/>
    </xf>
    <xf numFmtId="167" fontId="5" fillId="0" borderId="32" xfId="0" applyNumberFormat="1" applyFont="1" applyBorder="1" applyAlignment="1">
      <alignment horizontal="center"/>
    </xf>
    <xf numFmtId="167" fontId="5" fillId="0" borderId="33" xfId="0" applyNumberFormat="1" applyFont="1" applyBorder="1" applyAlignment="1">
      <alignment horizontal="center"/>
    </xf>
    <xf numFmtId="165" fontId="5" fillId="0" borderId="34" xfId="0" applyNumberFormat="1" applyFont="1" applyBorder="1" applyAlignment="1">
      <alignment horizontal="center"/>
    </xf>
    <xf numFmtId="167" fontId="18" fillId="8" borderId="20" xfId="0" applyNumberFormat="1" applyFont="1" applyFill="1" applyBorder="1" applyAlignment="1">
      <alignment horizontal="center"/>
    </xf>
    <xf numFmtId="167" fontId="18" fillId="8" borderId="12" xfId="0" applyNumberFormat="1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/>
    </xf>
    <xf numFmtId="167" fontId="18" fillId="0" borderId="12" xfId="0" applyNumberFormat="1" applyFont="1" applyBorder="1" applyAlignment="1">
      <alignment horizontal="center"/>
    </xf>
    <xf numFmtId="167" fontId="18" fillId="0" borderId="16" xfId="0" applyNumberFormat="1" applyFont="1" applyBorder="1" applyAlignment="1">
      <alignment horizontal="center"/>
    </xf>
    <xf numFmtId="167" fontId="18" fillId="0" borderId="17" xfId="0" applyNumberFormat="1" applyFont="1" applyBorder="1" applyAlignment="1">
      <alignment horizontal="center"/>
    </xf>
    <xf numFmtId="165" fontId="18" fillId="8" borderId="21" xfId="0" applyNumberFormat="1" applyFont="1" applyFill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7" fontId="18" fillId="8" borderId="21" xfId="0" applyNumberFormat="1" applyFont="1" applyFill="1" applyBorder="1" applyAlignment="1">
      <alignment horizontal="center"/>
    </xf>
    <xf numFmtId="167" fontId="18" fillId="0" borderId="21" xfId="0" applyNumberFormat="1" applyFont="1" applyBorder="1" applyAlignment="1">
      <alignment horizontal="center"/>
    </xf>
    <xf numFmtId="167" fontId="18" fillId="0" borderId="18" xfId="0" applyNumberFormat="1" applyFont="1" applyBorder="1" applyAlignment="1">
      <alignment horizontal="center"/>
    </xf>
    <xf numFmtId="167" fontId="5" fillId="0" borderId="30" xfId="0" applyNumberFormat="1" applyFont="1" applyBorder="1" applyAlignment="1">
      <alignment horizontal="center"/>
    </xf>
    <xf numFmtId="165" fontId="5" fillId="0" borderId="31" xfId="0" applyNumberFormat="1" applyFont="1" applyBorder="1" applyAlignment="1">
      <alignment horizontal="center"/>
    </xf>
    <xf numFmtId="0" fontId="4" fillId="2" borderId="4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167" fontId="18" fillId="8" borderId="22" xfId="0" applyNumberFormat="1" applyFont="1" applyFill="1" applyBorder="1" applyAlignment="1">
      <alignment horizontal="center"/>
    </xf>
    <xf numFmtId="167" fontId="18" fillId="8" borderId="23" xfId="0" applyNumberFormat="1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165" fontId="18" fillId="8" borderId="24" xfId="0" applyNumberFormat="1" applyFont="1" applyFill="1" applyBorder="1" applyAlignment="1">
      <alignment horizontal="center"/>
    </xf>
    <xf numFmtId="167" fontId="18" fillId="8" borderId="24" xfId="0" applyNumberFormat="1" applyFont="1" applyFill="1" applyBorder="1" applyAlignment="1">
      <alignment horizontal="center"/>
    </xf>
    <xf numFmtId="1" fontId="13" fillId="0" borderId="21" xfId="0" applyNumberFormat="1" applyFont="1" applyBorder="1" applyAlignment="1">
      <alignment horizontal="center"/>
    </xf>
    <xf numFmtId="167" fontId="13" fillId="0" borderId="21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2" fillId="0" borderId="3" xfId="0" applyFont="1" applyBorder="1"/>
    <xf numFmtId="167" fontId="5" fillId="0" borderId="21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167" fontId="5" fillId="0" borderId="31" xfId="0" applyNumberFormat="1" applyFont="1" applyBorder="1" applyAlignment="1">
      <alignment horizontal="center"/>
    </xf>
    <xf numFmtId="167" fontId="5" fillId="0" borderId="29" xfId="0" applyNumberFormat="1" applyFont="1" applyBorder="1" applyAlignment="1">
      <alignment horizontal="center"/>
    </xf>
    <xf numFmtId="167" fontId="5" fillId="0" borderId="34" xfId="0" applyNumberFormat="1" applyFont="1" applyBorder="1" applyAlignment="1">
      <alignment horizont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/>
    </xf>
    <xf numFmtId="164" fontId="6" fillId="0" borderId="38" xfId="0" applyNumberFormat="1" applyFont="1" applyBorder="1" applyAlignment="1">
      <alignment horizontal="center"/>
    </xf>
    <xf numFmtId="164" fontId="6" fillId="0" borderId="36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6" fillId="3" borderId="21" xfId="0" applyNumberFormat="1" applyFont="1" applyFill="1" applyBorder="1" applyAlignment="1">
      <alignment horizontal="center"/>
    </xf>
    <xf numFmtId="10" fontId="6" fillId="3" borderId="21" xfId="0" applyNumberFormat="1" applyFont="1" applyFill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10" fontId="6" fillId="0" borderId="18" xfId="0" applyNumberFormat="1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0" fontId="6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5" fillId="0" borderId="16" xfId="0" applyFont="1" applyBorder="1"/>
    <xf numFmtId="0" fontId="5" fillId="0" borderId="13" xfId="0" applyFont="1" applyBorder="1"/>
    <xf numFmtId="0" fontId="6" fillId="6" borderId="2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2" fontId="13" fillId="0" borderId="20" xfId="0" applyNumberFormat="1" applyFont="1" applyBorder="1" applyAlignment="1">
      <alignment horizontal="center"/>
    </xf>
    <xf numFmtId="9" fontId="13" fillId="0" borderId="20" xfId="0" applyNumberFormat="1" applyFont="1" applyBorder="1" applyAlignment="1">
      <alignment horizontal="center"/>
    </xf>
    <xf numFmtId="167" fontId="13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66" fontId="5" fillId="0" borderId="17" xfId="0" applyNumberFormat="1" applyFont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0" fontId="4" fillId="2" borderId="49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10" fontId="5" fillId="0" borderId="21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167" fontId="5" fillId="0" borderId="15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 vertical="center" wrapText="1"/>
    </xf>
    <xf numFmtId="166" fontId="14" fillId="0" borderId="16" xfId="0" applyNumberFormat="1" applyFont="1" applyBorder="1" applyAlignment="1">
      <alignment horizontal="center" vertical="center" wrapText="1"/>
    </xf>
    <xf numFmtId="168" fontId="6" fillId="3" borderId="12" xfId="0" applyNumberFormat="1" applyFont="1" applyFill="1" applyBorder="1" applyAlignment="1">
      <alignment horizontal="center" vertical="center" wrapText="1"/>
    </xf>
    <xf numFmtId="2" fontId="13" fillId="0" borderId="12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165" fontId="23" fillId="0" borderId="1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0" fillId="0" borderId="56" xfId="0" applyBorder="1"/>
    <xf numFmtId="170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6" fillId="7" borderId="53" xfId="0" applyFont="1" applyFill="1" applyBorder="1" applyAlignment="1">
      <alignment horizontal="center"/>
    </xf>
    <xf numFmtId="166" fontId="18" fillId="8" borderId="22" xfId="0" applyNumberFormat="1" applyFont="1" applyFill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5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8" fillId="0" borderId="54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10" fontId="6" fillId="0" borderId="27" xfId="0" applyNumberFormat="1" applyFont="1" applyBorder="1" applyAlignment="1">
      <alignment horizontal="center" vertical="center"/>
    </xf>
    <xf numFmtId="0" fontId="0" fillId="0" borderId="36" xfId="0" applyBorder="1"/>
    <xf numFmtId="0" fontId="6" fillId="0" borderId="65" xfId="0" applyFont="1" applyBorder="1" applyAlignment="1">
      <alignment horizontal="center"/>
    </xf>
    <xf numFmtId="0" fontId="0" fillId="0" borderId="41" xfId="0" applyBorder="1"/>
    <xf numFmtId="0" fontId="0" fillId="0" borderId="66" xfId="0" applyBorder="1"/>
    <xf numFmtId="0" fontId="3" fillId="0" borderId="54" xfId="0" applyFont="1" applyBorder="1" applyAlignment="1">
      <alignment horizontal="center" vertical="center" wrapText="1"/>
    </xf>
    <xf numFmtId="0" fontId="5" fillId="0" borderId="8" xfId="0" applyFont="1" applyBorder="1"/>
    <xf numFmtId="0" fontId="0" fillId="0" borderId="64" xfId="0" applyBorder="1"/>
    <xf numFmtId="0" fontId="0" fillId="0" borderId="42" xfId="0" applyBorder="1"/>
    <xf numFmtId="0" fontId="5" fillId="0" borderId="54" xfId="0" applyFont="1" applyBorder="1" applyAlignment="1">
      <alignment vertical="top" wrapText="1"/>
    </xf>
    <xf numFmtId="0" fontId="5" fillId="0" borderId="21" xfId="0" applyFont="1" applyBorder="1" applyAlignment="1">
      <alignment horizontal="left" vertical="center" wrapText="1"/>
    </xf>
    <xf numFmtId="0" fontId="0" fillId="0" borderId="59" xfId="0" applyBorder="1"/>
    <xf numFmtId="0" fontId="0" fillId="0" borderId="67" xfId="0" applyBorder="1"/>
    <xf numFmtId="0" fontId="3" fillId="0" borderId="54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0" fillId="0" borderId="0" xfId="0"/>
    <xf numFmtId="0" fontId="3" fillId="0" borderId="54" xfId="0" applyFont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0" fillId="0" borderId="57" xfId="0" applyBorder="1"/>
    <xf numFmtId="0" fontId="0" fillId="0" borderId="56" xfId="0" applyBorder="1"/>
    <xf numFmtId="0" fontId="5" fillId="0" borderId="21" xfId="0" applyFont="1" applyBorder="1" applyAlignment="1">
      <alignment horizontal="center"/>
    </xf>
    <xf numFmtId="0" fontId="6" fillId="7" borderId="53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28" xfId="0" applyBorder="1"/>
    <xf numFmtId="0" fontId="6" fillId="7" borderId="58" xfId="0" applyFont="1" applyFill="1" applyBorder="1" applyAlignment="1">
      <alignment horizontal="center"/>
    </xf>
    <xf numFmtId="0" fontId="0" fillId="0" borderId="51" xfId="0" applyBorder="1"/>
    <xf numFmtId="0" fontId="0" fillId="0" borderId="52" xfId="0" applyBorder="1"/>
    <xf numFmtId="0" fontId="18" fillId="0" borderId="0" xfId="0" applyFont="1" applyAlignment="1">
      <alignment vertical="top" wrapText="1"/>
    </xf>
    <xf numFmtId="0" fontId="6" fillId="7" borderId="35" xfId="0" applyFont="1" applyFill="1" applyBorder="1" applyAlignment="1">
      <alignment horizontal="center"/>
    </xf>
    <xf numFmtId="0" fontId="0" fillId="0" borderId="55" xfId="0" applyBorder="1"/>
    <xf numFmtId="0" fontId="6" fillId="3" borderId="54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6" fillId="7" borderId="25" xfId="0" applyFont="1" applyFill="1" applyBorder="1" applyAlignment="1">
      <alignment horizontal="center"/>
    </xf>
    <xf numFmtId="0" fontId="0" fillId="0" borderId="62" xfId="0" applyBorder="1"/>
    <xf numFmtId="0" fontId="5" fillId="0" borderId="22" xfId="0" applyFont="1" applyBorder="1" applyAlignment="1">
      <alignment horizontal="center"/>
    </xf>
    <xf numFmtId="0" fontId="0" fillId="0" borderId="63" xfId="0" applyBorder="1"/>
    <xf numFmtId="0" fontId="0" fillId="0" borderId="30" xfId="0" applyBorder="1"/>
    <xf numFmtId="0" fontId="6" fillId="7" borderId="12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71"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5" formatCode="0.000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center" vertical="bottom"/>
    </dxf>
    <dxf>
      <border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1F4E78"/>
          <bgColor rgb="FF1F4E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7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" formatCode="0"/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center" vertical="bottom"/>
    </dxf>
    <dxf>
      <border outline="0"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1F4E78"/>
          <bgColor rgb="FF1F4E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center" vertical="center"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6" formatCode="0.0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6" formatCode="0.0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6" formatCode="0.0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5" formatCode="0.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6" formatCode="0.0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6" formatCode="0.0000"/>
      <alignment horizontal="center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center" vertical="bottom"/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center" vertical="bottom"/>
    </dxf>
    <dxf>
      <border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1F4E78"/>
          <bgColor rgb="FF1F4E79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charset val="1"/>
      </font>
      <numFmt numFmtId="168" formatCode="0.0%"/>
      <fill>
        <patternFill patternType="solid">
          <fgColor rgb="FFFCE4D6"/>
          <bgColor rgb="FFFFF2CC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charset val="1"/>
      </font>
      <numFmt numFmtId="167" formatCode="0.0"/>
      <fill>
        <patternFill patternType="solid">
          <fgColor rgb="FFFCE4D6"/>
          <bgColor rgb="FFFFF2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charset val="1"/>
      </font>
      <numFmt numFmtId="167" formatCode="0.0"/>
      <fill>
        <patternFill patternType="solid">
          <fgColor rgb="FFFCE4D6"/>
          <bgColor rgb="FFFFF2CC"/>
        </patternFill>
      </fill>
      <alignment horizontal="center" vertical="center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8" formatCode="0.0%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3" formatCode="#,##0"/>
      <fill>
        <patternFill patternType="solid">
          <fgColor rgb="FFFFFFFF"/>
          <bgColor rgb="FFF9FAFB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D9D9D9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fill>
        <patternFill patternType="solid">
          <fgColor rgb="FFFCE4D6"/>
          <bgColor rgb="FFFFF2CC"/>
        </patternFill>
      </fill>
      <alignment horizontal="center" vertical="center"/>
    </dxf>
    <dxf>
      <border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rgb="FF1F4E79"/>
          <bgColor rgb="FF1F4E78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8" formatCode="0.0%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164" formatCode="#,##0.0"/>
      <fill>
        <patternFill patternType="solid">
          <fgColor rgb="FFFFFFFF"/>
          <bgColor rgb="FFF9FAFB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numFmt numFmtId="3" formatCode="#,##0"/>
      <fill>
        <patternFill patternType="solid">
          <fgColor rgb="FFFFFFFF"/>
          <bgColor rgb="FFF9FAFB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  <charset val="1"/>
      </font>
      <fill>
        <patternFill patternType="solid">
          <fgColor rgb="FFFFFFFF"/>
          <bgColor rgb="FFF9FAFB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charset val="1"/>
      </font>
      <fill>
        <patternFill patternType="solid">
          <fgColor rgb="FF1F4E79"/>
          <bgColor rgb="FF1F4E78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4E78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UR × Temp (Ano 0) – regressão auxiliar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Semanas (Ano 0)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4A7EBB"/>
              </a:solidFill>
              <a:ln w="6350">
                <a:solidFill>
                  <a:srgbClr val="FFFFFF"/>
                </a:solidFill>
                <a:prstDash val="solid"/>
              </a:ln>
            </c:spPr>
          </c:marker>
          <c:trendline>
            <c:name>Ajuste linear UR = a + b·Temp</c:name>
            <c:spPr>
              <a:ln w="22000">
                <a:solidFill>
                  <a:srgbClr val="BE4B48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38"/>
                  <c:y val="-0.05"/>
                </c:manualLayout>
              </c:layout>
              <c:numFmt formatCode="0.0000" sourceLinked="0"/>
              <c:txPr>
                <a:bodyPr/>
                <a:lstStyle/>
                <a:p>
                  <a:pPr>
                    <a:defRPr sz="1000" b="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</c:trendlineLbl>
          </c:trendline>
          <c:xVal>
            <c:numRef>
              <c:f>'Ano 0 - Linha de Base'!$I$6:$I$57</c:f>
              <c:numCache>
                <c:formatCode>#,##0.0</c:formatCode>
                <c:ptCount val="52"/>
                <c:pt idx="0">
                  <c:v>29.9</c:v>
                </c:pt>
                <c:pt idx="1">
                  <c:v>29.7</c:v>
                </c:pt>
                <c:pt idx="2">
                  <c:v>30.5</c:v>
                </c:pt>
                <c:pt idx="3">
                  <c:v>31.2</c:v>
                </c:pt>
                <c:pt idx="4">
                  <c:v>29.8</c:v>
                </c:pt>
                <c:pt idx="5">
                  <c:v>29.6</c:v>
                </c:pt>
                <c:pt idx="6">
                  <c:v>30.8</c:v>
                </c:pt>
                <c:pt idx="7">
                  <c:v>29.8</c:v>
                </c:pt>
                <c:pt idx="8">
                  <c:v>28.3</c:v>
                </c:pt>
                <c:pt idx="9">
                  <c:v>28.5</c:v>
                </c:pt>
                <c:pt idx="10">
                  <c:v>27.1</c:v>
                </c:pt>
                <c:pt idx="11">
                  <c:v>26.4</c:v>
                </c:pt>
                <c:pt idx="12">
                  <c:v>26.2</c:v>
                </c:pt>
                <c:pt idx="13">
                  <c:v>23.6</c:v>
                </c:pt>
                <c:pt idx="14">
                  <c:v>22.9</c:v>
                </c:pt>
                <c:pt idx="15">
                  <c:v>23</c:v>
                </c:pt>
                <c:pt idx="16">
                  <c:v>21.7</c:v>
                </c:pt>
                <c:pt idx="17">
                  <c:v>21.8</c:v>
                </c:pt>
                <c:pt idx="18">
                  <c:v>20</c:v>
                </c:pt>
                <c:pt idx="19">
                  <c:v>18.7</c:v>
                </c:pt>
                <c:pt idx="20">
                  <c:v>20.2</c:v>
                </c:pt>
                <c:pt idx="21">
                  <c:v>18.100000000000001</c:v>
                </c:pt>
                <c:pt idx="22">
                  <c:v>17.600000000000001</c:v>
                </c:pt>
                <c:pt idx="23">
                  <c:v>15.7</c:v>
                </c:pt>
                <c:pt idx="24">
                  <c:v>15.9</c:v>
                </c:pt>
                <c:pt idx="25">
                  <c:v>15.9</c:v>
                </c:pt>
                <c:pt idx="26">
                  <c:v>14.6</c:v>
                </c:pt>
                <c:pt idx="27">
                  <c:v>15.5</c:v>
                </c:pt>
                <c:pt idx="28">
                  <c:v>14.6</c:v>
                </c:pt>
                <c:pt idx="29">
                  <c:v>14.8</c:v>
                </c:pt>
                <c:pt idx="30">
                  <c:v>14.6</c:v>
                </c:pt>
                <c:pt idx="31">
                  <c:v>16.7</c:v>
                </c:pt>
                <c:pt idx="32">
                  <c:v>15.5</c:v>
                </c:pt>
                <c:pt idx="33">
                  <c:v>15</c:v>
                </c:pt>
                <c:pt idx="34">
                  <c:v>17</c:v>
                </c:pt>
                <c:pt idx="35">
                  <c:v>15.9</c:v>
                </c:pt>
                <c:pt idx="36">
                  <c:v>17.7</c:v>
                </c:pt>
                <c:pt idx="37">
                  <c:v>16.7</c:v>
                </c:pt>
                <c:pt idx="38">
                  <c:v>18</c:v>
                </c:pt>
                <c:pt idx="39">
                  <c:v>20</c:v>
                </c:pt>
                <c:pt idx="40">
                  <c:v>21.3</c:v>
                </c:pt>
                <c:pt idx="41">
                  <c:v>21.7</c:v>
                </c:pt>
                <c:pt idx="42">
                  <c:v>22.4</c:v>
                </c:pt>
                <c:pt idx="43">
                  <c:v>23.2</c:v>
                </c:pt>
                <c:pt idx="44">
                  <c:v>23.1</c:v>
                </c:pt>
                <c:pt idx="45">
                  <c:v>24.6</c:v>
                </c:pt>
                <c:pt idx="46">
                  <c:v>25.6</c:v>
                </c:pt>
                <c:pt idx="47">
                  <c:v>27.6</c:v>
                </c:pt>
                <c:pt idx="48">
                  <c:v>27.7</c:v>
                </c:pt>
                <c:pt idx="49">
                  <c:v>26.7</c:v>
                </c:pt>
                <c:pt idx="50">
                  <c:v>28.9</c:v>
                </c:pt>
                <c:pt idx="51">
                  <c:v>28.8</c:v>
                </c:pt>
              </c:numCache>
            </c:numRef>
          </c:xVal>
          <c:yVal>
            <c:numRef>
              <c:f>'Ano 0 - Linha de Base'!$J$6:$J$57</c:f>
              <c:numCache>
                <c:formatCode>0.0%</c:formatCode>
                <c:ptCount val="52"/>
                <c:pt idx="0">
                  <c:v>0.69399999999999995</c:v>
                </c:pt>
                <c:pt idx="1">
                  <c:v>0.70899999999999996</c:v>
                </c:pt>
                <c:pt idx="2">
                  <c:v>0.76300000000000001</c:v>
                </c:pt>
                <c:pt idx="3">
                  <c:v>0.72</c:v>
                </c:pt>
                <c:pt idx="4">
                  <c:v>0.70499999999999996</c:v>
                </c:pt>
                <c:pt idx="5">
                  <c:v>0.69299999999999995</c:v>
                </c:pt>
                <c:pt idx="6">
                  <c:v>0.65200000000000002</c:v>
                </c:pt>
                <c:pt idx="7">
                  <c:v>0.69699999999999995</c:v>
                </c:pt>
                <c:pt idx="8">
                  <c:v>0.68100000000000005</c:v>
                </c:pt>
                <c:pt idx="9">
                  <c:v>0.75600000000000001</c:v>
                </c:pt>
                <c:pt idx="10">
                  <c:v>0.65900000000000003</c:v>
                </c:pt>
                <c:pt idx="11">
                  <c:v>0.66600000000000004</c:v>
                </c:pt>
                <c:pt idx="12">
                  <c:v>0.65300000000000002</c:v>
                </c:pt>
                <c:pt idx="13">
                  <c:v>0.58799999999999997</c:v>
                </c:pt>
                <c:pt idx="14">
                  <c:v>0.64900000000000002</c:v>
                </c:pt>
                <c:pt idx="15">
                  <c:v>0.63900000000000001</c:v>
                </c:pt>
                <c:pt idx="16">
                  <c:v>0.624</c:v>
                </c:pt>
                <c:pt idx="17">
                  <c:v>0.57399999999999995</c:v>
                </c:pt>
                <c:pt idx="18">
                  <c:v>0.622</c:v>
                </c:pt>
                <c:pt idx="19">
                  <c:v>0.52200000000000002</c:v>
                </c:pt>
                <c:pt idx="20">
                  <c:v>0.6</c:v>
                </c:pt>
                <c:pt idx="21">
                  <c:v>0.623</c:v>
                </c:pt>
                <c:pt idx="22">
                  <c:v>0.52100000000000002</c:v>
                </c:pt>
                <c:pt idx="23">
                  <c:v>0.51100000000000001</c:v>
                </c:pt>
                <c:pt idx="24">
                  <c:v>0.53400000000000003</c:v>
                </c:pt>
                <c:pt idx="25">
                  <c:v>0.51600000000000001</c:v>
                </c:pt>
                <c:pt idx="26">
                  <c:v>0.48</c:v>
                </c:pt>
                <c:pt idx="27">
                  <c:v>0.52800000000000002</c:v>
                </c:pt>
                <c:pt idx="28">
                  <c:v>0.48299999999999998</c:v>
                </c:pt>
                <c:pt idx="29">
                  <c:v>0.53200000000000003</c:v>
                </c:pt>
                <c:pt idx="30">
                  <c:v>0.48799999999999999</c:v>
                </c:pt>
                <c:pt idx="31">
                  <c:v>0.58699999999999997</c:v>
                </c:pt>
                <c:pt idx="32">
                  <c:v>0.503</c:v>
                </c:pt>
                <c:pt idx="33">
                  <c:v>0.51</c:v>
                </c:pt>
                <c:pt idx="34">
                  <c:v>0.56799999999999995</c:v>
                </c:pt>
                <c:pt idx="35">
                  <c:v>0.49399999999999999</c:v>
                </c:pt>
                <c:pt idx="36">
                  <c:v>0.55900000000000005</c:v>
                </c:pt>
                <c:pt idx="37">
                  <c:v>0.57999999999999996</c:v>
                </c:pt>
                <c:pt idx="38">
                  <c:v>0.50800000000000001</c:v>
                </c:pt>
                <c:pt idx="39">
                  <c:v>0.58599999999999997</c:v>
                </c:pt>
                <c:pt idx="40">
                  <c:v>0.60299999999999998</c:v>
                </c:pt>
                <c:pt idx="41">
                  <c:v>0.624</c:v>
                </c:pt>
                <c:pt idx="42">
                  <c:v>0.57199999999999995</c:v>
                </c:pt>
                <c:pt idx="43">
                  <c:v>0.57899999999999996</c:v>
                </c:pt>
                <c:pt idx="44">
                  <c:v>0.63300000000000001</c:v>
                </c:pt>
                <c:pt idx="45">
                  <c:v>0.64400000000000002</c:v>
                </c:pt>
                <c:pt idx="46">
                  <c:v>0.65500000000000003</c:v>
                </c:pt>
                <c:pt idx="47">
                  <c:v>0.68200000000000005</c:v>
                </c:pt>
                <c:pt idx="48">
                  <c:v>0.65200000000000002</c:v>
                </c:pt>
                <c:pt idx="49">
                  <c:v>0.66700000000000004</c:v>
                </c:pt>
                <c:pt idx="50">
                  <c:v>0.69599999999999995</c:v>
                </c:pt>
                <c:pt idx="51">
                  <c:v>0.66400000000000003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2-4116-92FD-6D517EAA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2"/>
          <c:min val="14"/>
        </c:scaling>
        <c:delete val="0"/>
        <c:axPos val="b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>
                    <a:solidFill>
                      <a:srgbClr val="000000"/>
                    </a:solidFill>
                    <a:latin typeface="Calibri"/>
                  </a:rPr>
                  <a:t>Temp (°C)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"/>
        <c:crosses val="min"/>
        <c:crossBetween val="midCat"/>
        <c:majorUnit val="2"/>
      </c:valAx>
      <c:valAx>
        <c:axId val="20"/>
        <c:scaling>
          <c:orientation val="minMax"/>
          <c:max val="0.75"/>
          <c:min val="0.45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>
                    <a:solidFill>
                      <a:srgbClr val="000000"/>
                    </a:solidFill>
                    <a:latin typeface="Calibri"/>
                  </a:rPr>
                  <a:t>UR (fração)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"/>
        <c:crosses val="min"/>
        <c:crossBetween val="midCat"/>
        <c:majorUnit val="0.05"/>
      </c:valAx>
    </c:plotArea>
    <c:legend>
      <c:legendPos val="b"/>
      <c:overlay val="1"/>
      <c:txPr>
        <a:bodyPr/>
        <a:lstStyle/>
        <a:p>
          <a:pPr>
            <a:defRPr sz="1000" b="0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Ano 0 – Consumo medido vs. Linha de Base ajustada</a:t>
            </a:r>
          </a:p>
        </c:rich>
      </c:tx>
      <c:layout>
        <c:manualLayout>
          <c:xMode val="edge"/>
          <c:yMode val="edge"/>
          <c:x val="0.115629013257111"/>
          <c:y val="0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880401888912331"/>
          <c:y val="0.19405331895323019"/>
          <c:w val="0.87171553244397759"/>
          <c:h val="0.592620029377534"/>
        </c:manualLayout>
      </c:layout>
      <c:lineChart>
        <c:grouping val="standard"/>
        <c:varyColors val="0"/>
        <c:ser>
          <c:idx val="0"/>
          <c:order val="0"/>
          <c:tx>
            <c:strRef>
              <c:f>'4.2c Modelo Final'!$I$36</c:f>
              <c:strCache>
                <c:ptCount val="1"/>
                <c:pt idx="0">
                  <c:v>Medido (MWh)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'4.2c Modelo Final'!$B$37:$B$88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'4.2c Modelo Final'!$I$37:$I$88</c:f>
              <c:numCache>
                <c:formatCode>0.0</c:formatCode>
                <c:ptCount val="52"/>
                <c:pt idx="0">
                  <c:v>277</c:v>
                </c:pt>
                <c:pt idx="1">
                  <c:v>288.8</c:v>
                </c:pt>
                <c:pt idx="2">
                  <c:v>275.7</c:v>
                </c:pt>
                <c:pt idx="3">
                  <c:v>279.60000000000002</c:v>
                </c:pt>
                <c:pt idx="4">
                  <c:v>281.39999999999998</c:v>
                </c:pt>
                <c:pt idx="5">
                  <c:v>286.39999999999998</c:v>
                </c:pt>
                <c:pt idx="6">
                  <c:v>292.2</c:v>
                </c:pt>
                <c:pt idx="7">
                  <c:v>280.5</c:v>
                </c:pt>
                <c:pt idx="8">
                  <c:v>275.10000000000002</c:v>
                </c:pt>
                <c:pt idx="9">
                  <c:v>277</c:v>
                </c:pt>
                <c:pt idx="10">
                  <c:v>284.10000000000002</c:v>
                </c:pt>
                <c:pt idx="11">
                  <c:v>269.5</c:v>
                </c:pt>
                <c:pt idx="12">
                  <c:v>280.39999999999998</c:v>
                </c:pt>
                <c:pt idx="13">
                  <c:v>249.1</c:v>
                </c:pt>
                <c:pt idx="14">
                  <c:v>252.9</c:v>
                </c:pt>
                <c:pt idx="15">
                  <c:v>250.6</c:v>
                </c:pt>
                <c:pt idx="16">
                  <c:v>248.2</c:v>
                </c:pt>
                <c:pt idx="17">
                  <c:v>250.1</c:v>
                </c:pt>
                <c:pt idx="18">
                  <c:v>245.8</c:v>
                </c:pt>
                <c:pt idx="19">
                  <c:v>235.5</c:v>
                </c:pt>
                <c:pt idx="20">
                  <c:v>250.2</c:v>
                </c:pt>
                <c:pt idx="21">
                  <c:v>252</c:v>
                </c:pt>
                <c:pt idx="22">
                  <c:v>245</c:v>
                </c:pt>
                <c:pt idx="23">
                  <c:v>244.3</c:v>
                </c:pt>
                <c:pt idx="24">
                  <c:v>249.7</c:v>
                </c:pt>
                <c:pt idx="25">
                  <c:v>234.2</c:v>
                </c:pt>
                <c:pt idx="26">
                  <c:v>258.5</c:v>
                </c:pt>
                <c:pt idx="27">
                  <c:v>253.5</c:v>
                </c:pt>
                <c:pt idx="28">
                  <c:v>235.4</c:v>
                </c:pt>
                <c:pt idx="29">
                  <c:v>247.3</c:v>
                </c:pt>
                <c:pt idx="30">
                  <c:v>242.8</c:v>
                </c:pt>
                <c:pt idx="31">
                  <c:v>251.7</c:v>
                </c:pt>
                <c:pt idx="32">
                  <c:v>249.7</c:v>
                </c:pt>
                <c:pt idx="33">
                  <c:v>258.7</c:v>
                </c:pt>
                <c:pt idx="34">
                  <c:v>253</c:v>
                </c:pt>
                <c:pt idx="35">
                  <c:v>255.4</c:v>
                </c:pt>
                <c:pt idx="36">
                  <c:v>248.9</c:v>
                </c:pt>
                <c:pt idx="37">
                  <c:v>248.9</c:v>
                </c:pt>
                <c:pt idx="38">
                  <c:v>250.5</c:v>
                </c:pt>
                <c:pt idx="39">
                  <c:v>250.8</c:v>
                </c:pt>
                <c:pt idx="40">
                  <c:v>262.2</c:v>
                </c:pt>
                <c:pt idx="41">
                  <c:v>254</c:v>
                </c:pt>
                <c:pt idx="42">
                  <c:v>254.1</c:v>
                </c:pt>
                <c:pt idx="43">
                  <c:v>263.5</c:v>
                </c:pt>
                <c:pt idx="44">
                  <c:v>266.39999999999998</c:v>
                </c:pt>
                <c:pt idx="45">
                  <c:v>262.89999999999998</c:v>
                </c:pt>
                <c:pt idx="46">
                  <c:v>257.89999999999998</c:v>
                </c:pt>
                <c:pt idx="47">
                  <c:v>266.60000000000002</c:v>
                </c:pt>
                <c:pt idx="48">
                  <c:v>277.8</c:v>
                </c:pt>
                <c:pt idx="49">
                  <c:v>262</c:v>
                </c:pt>
                <c:pt idx="50">
                  <c:v>275.89999999999998</c:v>
                </c:pt>
                <c:pt idx="51">
                  <c:v>284.3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1F-41A3-8719-471D8D44B4AA}"/>
            </c:ext>
          </c:extLst>
        </c:ser>
        <c:ser>
          <c:idx val="1"/>
          <c:order val="1"/>
          <c:tx>
            <c:strRef>
              <c:f>'4.2c Modelo Final'!$F$36</c:f>
              <c:strCache>
                <c:ptCount val="1"/>
                <c:pt idx="0">
                  <c:v>Previsto (MWh)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'4.2c Modelo Final'!$B$37:$B$88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'4.2c Modelo Final'!$F$37:$F$88</c:f>
              <c:numCache>
                <c:formatCode>0.00</c:formatCode>
                <c:ptCount val="52"/>
                <c:pt idx="0">
                  <c:v>278.35271603767859</c:v>
                </c:pt>
                <c:pt idx="1">
                  <c:v>291.11896013442657</c:v>
                </c:pt>
                <c:pt idx="2">
                  <c:v>275.18857704370589</c:v>
                </c:pt>
                <c:pt idx="3">
                  <c:v>286.6886350925065</c:v>
                </c:pt>
                <c:pt idx="4">
                  <c:v>286.37134633238628</c:v>
                </c:pt>
                <c:pt idx="5">
                  <c:v>281.59400781589011</c:v>
                </c:pt>
                <c:pt idx="6">
                  <c:v>287.59218855984432</c:v>
                </c:pt>
                <c:pt idx="7">
                  <c:v>280.67180549811218</c:v>
                </c:pt>
                <c:pt idx="8">
                  <c:v>272.77917468572412</c:v>
                </c:pt>
                <c:pt idx="9">
                  <c:v>275.84196745440158</c:v>
                </c:pt>
                <c:pt idx="10">
                  <c:v>274.58822004528247</c:v>
                </c:pt>
                <c:pt idx="11">
                  <c:v>264.96107929447965</c:v>
                </c:pt>
                <c:pt idx="12">
                  <c:v>281.36162141240857</c:v>
                </c:pt>
                <c:pt idx="13">
                  <c:v>251.36216432240388</c:v>
                </c:pt>
                <c:pt idx="14">
                  <c:v>257.17062436839751</c:v>
                </c:pt>
                <c:pt idx="15">
                  <c:v>249.17745954737694</c:v>
                </c:pt>
                <c:pt idx="16">
                  <c:v>249.9406113767634</c:v>
                </c:pt>
                <c:pt idx="17">
                  <c:v>253.81315438359943</c:v>
                </c:pt>
                <c:pt idx="18">
                  <c:v>247.16068104136147</c:v>
                </c:pt>
                <c:pt idx="19">
                  <c:v>237.84995685339919</c:v>
                </c:pt>
                <c:pt idx="20">
                  <c:v>243.81405035398677</c:v>
                </c:pt>
                <c:pt idx="21">
                  <c:v>248.87753505910567</c:v>
                </c:pt>
                <c:pt idx="22">
                  <c:v>244.95101391614048</c:v>
                </c:pt>
                <c:pt idx="23">
                  <c:v>238.49706375464945</c:v>
                </c:pt>
                <c:pt idx="24">
                  <c:v>249.92737873687676</c:v>
                </c:pt>
                <c:pt idx="25">
                  <c:v>235.40277111539203</c:v>
                </c:pt>
                <c:pt idx="26">
                  <c:v>253.65388554421992</c:v>
                </c:pt>
                <c:pt idx="27">
                  <c:v>251.87892742802816</c:v>
                </c:pt>
                <c:pt idx="28">
                  <c:v>238.25223871233965</c:v>
                </c:pt>
                <c:pt idx="29">
                  <c:v>247.53652194119317</c:v>
                </c:pt>
                <c:pt idx="30">
                  <c:v>245.35017528849266</c:v>
                </c:pt>
                <c:pt idx="31">
                  <c:v>256.00039144918389</c:v>
                </c:pt>
                <c:pt idx="32">
                  <c:v>246.35034260717214</c:v>
                </c:pt>
                <c:pt idx="33">
                  <c:v>253.02783905147732</c:v>
                </c:pt>
                <c:pt idx="34">
                  <c:v>257.72329240978121</c:v>
                </c:pt>
                <c:pt idx="35">
                  <c:v>253.51074581068335</c:v>
                </c:pt>
                <c:pt idx="36">
                  <c:v>251.18797275955137</c:v>
                </c:pt>
                <c:pt idx="37">
                  <c:v>250.64685861375585</c:v>
                </c:pt>
                <c:pt idx="38">
                  <c:v>252.67580920169883</c:v>
                </c:pt>
                <c:pt idx="39">
                  <c:v>253.66407099535172</c:v>
                </c:pt>
                <c:pt idx="40">
                  <c:v>261.88465405056428</c:v>
                </c:pt>
                <c:pt idx="41">
                  <c:v>256.28592632778378</c:v>
                </c:pt>
                <c:pt idx="42">
                  <c:v>253.14984018028497</c:v>
                </c:pt>
                <c:pt idx="43">
                  <c:v>263.93031506406459</c:v>
                </c:pt>
                <c:pt idx="44">
                  <c:v>267.42092769194699</c:v>
                </c:pt>
                <c:pt idx="45">
                  <c:v>265.91941056864891</c:v>
                </c:pt>
                <c:pt idx="46">
                  <c:v>259.87136020653588</c:v>
                </c:pt>
                <c:pt idx="47">
                  <c:v>263.58351994047644</c:v>
                </c:pt>
                <c:pt idx="48">
                  <c:v>276.55483728431756</c:v>
                </c:pt>
                <c:pt idx="49">
                  <c:v>264.87517146211093</c:v>
                </c:pt>
                <c:pt idx="50">
                  <c:v>275.48114002022442</c:v>
                </c:pt>
                <c:pt idx="51">
                  <c:v>282.52906115380779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1F-41A3-8719-471D8D44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9488669"/>
        <c:axId val="48559916"/>
      </c:lineChart>
      <c:catAx>
        <c:axId val="79488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8559916"/>
        <c:crosses val="autoZero"/>
        <c:auto val="1"/>
        <c:lblAlgn val="ctr"/>
        <c:lblOffset val="100"/>
        <c:noMultiLvlLbl val="0"/>
      </c:catAx>
      <c:valAx>
        <c:axId val="48559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MWh/semana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948866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5462377440957138E-2"/>
          <c:y val="0.16059270718151791"/>
          <c:w val="0.87080163981237158"/>
          <c:h val="0.1667895874980255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Resíduos vs. previstos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Resíduo</c:v>
          </c:tx>
          <c:spPr>
            <a:ln w="47520">
              <a:noFill/>
              <a:prstDash val="solid"/>
            </a:ln>
          </c:spPr>
          <c:marker>
            <c:symbol val="circle"/>
            <c:size val="5"/>
            <c:spPr>
              <a:noFill/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'4.2c Modelo Final'!$F$37:$F$88</c:f>
              <c:numCache>
                <c:formatCode>0.00</c:formatCode>
                <c:ptCount val="52"/>
                <c:pt idx="0">
                  <c:v>278.35271603767859</c:v>
                </c:pt>
                <c:pt idx="1">
                  <c:v>291.11896013442657</c:v>
                </c:pt>
                <c:pt idx="2">
                  <c:v>275.18857704370589</c:v>
                </c:pt>
                <c:pt idx="3">
                  <c:v>286.6886350925065</c:v>
                </c:pt>
                <c:pt idx="4">
                  <c:v>286.37134633238628</c:v>
                </c:pt>
                <c:pt idx="5">
                  <c:v>281.59400781589011</c:v>
                </c:pt>
                <c:pt idx="6">
                  <c:v>287.59218855984432</c:v>
                </c:pt>
                <c:pt idx="7">
                  <c:v>280.67180549811218</c:v>
                </c:pt>
                <c:pt idx="8">
                  <c:v>272.77917468572412</c:v>
                </c:pt>
                <c:pt idx="9">
                  <c:v>275.84196745440158</c:v>
                </c:pt>
                <c:pt idx="10">
                  <c:v>274.58822004528247</c:v>
                </c:pt>
                <c:pt idx="11">
                  <c:v>264.96107929447965</c:v>
                </c:pt>
                <c:pt idx="12">
                  <c:v>281.36162141240857</c:v>
                </c:pt>
                <c:pt idx="13">
                  <c:v>251.36216432240388</c:v>
                </c:pt>
                <c:pt idx="14">
                  <c:v>257.17062436839751</c:v>
                </c:pt>
                <c:pt idx="15">
                  <c:v>249.17745954737694</c:v>
                </c:pt>
                <c:pt idx="16">
                  <c:v>249.9406113767634</c:v>
                </c:pt>
                <c:pt idx="17">
                  <c:v>253.81315438359943</c:v>
                </c:pt>
                <c:pt idx="18">
                  <c:v>247.16068104136147</c:v>
                </c:pt>
                <c:pt idx="19">
                  <c:v>237.84995685339919</c:v>
                </c:pt>
                <c:pt idx="20">
                  <c:v>243.81405035398677</c:v>
                </c:pt>
                <c:pt idx="21">
                  <c:v>248.87753505910567</c:v>
                </c:pt>
                <c:pt idx="22">
                  <c:v>244.95101391614048</c:v>
                </c:pt>
                <c:pt idx="23">
                  <c:v>238.49706375464945</c:v>
                </c:pt>
                <c:pt idx="24">
                  <c:v>249.92737873687676</c:v>
                </c:pt>
                <c:pt idx="25">
                  <c:v>235.40277111539203</c:v>
                </c:pt>
                <c:pt idx="26">
                  <c:v>253.65388554421992</c:v>
                </c:pt>
                <c:pt idx="27">
                  <c:v>251.87892742802816</c:v>
                </c:pt>
                <c:pt idx="28">
                  <c:v>238.25223871233965</c:v>
                </c:pt>
                <c:pt idx="29">
                  <c:v>247.53652194119317</c:v>
                </c:pt>
                <c:pt idx="30">
                  <c:v>245.35017528849266</c:v>
                </c:pt>
                <c:pt idx="31">
                  <c:v>256.00039144918389</c:v>
                </c:pt>
                <c:pt idx="32">
                  <c:v>246.35034260717214</c:v>
                </c:pt>
                <c:pt idx="33">
                  <c:v>253.02783905147732</c:v>
                </c:pt>
                <c:pt idx="34">
                  <c:v>257.72329240978121</c:v>
                </c:pt>
                <c:pt idx="35">
                  <c:v>253.51074581068335</c:v>
                </c:pt>
                <c:pt idx="36">
                  <c:v>251.18797275955137</c:v>
                </c:pt>
                <c:pt idx="37">
                  <c:v>250.64685861375585</c:v>
                </c:pt>
                <c:pt idx="38">
                  <c:v>252.67580920169883</c:v>
                </c:pt>
                <c:pt idx="39">
                  <c:v>253.66407099535172</c:v>
                </c:pt>
                <c:pt idx="40">
                  <c:v>261.88465405056428</c:v>
                </c:pt>
                <c:pt idx="41">
                  <c:v>256.28592632778378</c:v>
                </c:pt>
                <c:pt idx="42">
                  <c:v>253.14984018028497</c:v>
                </c:pt>
                <c:pt idx="43">
                  <c:v>263.93031506406459</c:v>
                </c:pt>
                <c:pt idx="44">
                  <c:v>267.42092769194699</c:v>
                </c:pt>
                <c:pt idx="45">
                  <c:v>265.91941056864891</c:v>
                </c:pt>
                <c:pt idx="46">
                  <c:v>259.87136020653588</c:v>
                </c:pt>
                <c:pt idx="47">
                  <c:v>263.58351994047644</c:v>
                </c:pt>
                <c:pt idx="48">
                  <c:v>276.55483728431756</c:v>
                </c:pt>
                <c:pt idx="49">
                  <c:v>264.87517146211093</c:v>
                </c:pt>
                <c:pt idx="50">
                  <c:v>275.48114002022442</c:v>
                </c:pt>
                <c:pt idx="51">
                  <c:v>282.52906115380779</c:v>
                </c:pt>
              </c:numCache>
            </c:numRef>
          </c:xVal>
          <c:yVal>
            <c:numRef>
              <c:f>'4.2c Modelo Final'!$G$37:$G$88</c:f>
              <c:numCache>
                <c:formatCode>0.00</c:formatCode>
                <c:ptCount val="52"/>
                <c:pt idx="0">
                  <c:v>-1.3527160376785901</c:v>
                </c:pt>
                <c:pt idx="1">
                  <c:v>-2.3189601344265611</c:v>
                </c:pt>
                <c:pt idx="2">
                  <c:v>0.51142295629409773</c:v>
                </c:pt>
                <c:pt idx="3">
                  <c:v>-7.0886350925064789</c:v>
                </c:pt>
                <c:pt idx="4">
                  <c:v>-4.9713463323863039</c:v>
                </c:pt>
                <c:pt idx="5">
                  <c:v>4.8059921841098685</c:v>
                </c:pt>
                <c:pt idx="6">
                  <c:v>4.6078114401556718</c:v>
                </c:pt>
                <c:pt idx="7">
                  <c:v>-0.17180549811217816</c:v>
                </c:pt>
                <c:pt idx="8">
                  <c:v>2.3208253142759077</c:v>
                </c:pt>
                <c:pt idx="9">
                  <c:v>1.1580325455984166</c:v>
                </c:pt>
                <c:pt idx="10">
                  <c:v>9.5117799547175537</c:v>
                </c:pt>
                <c:pt idx="11">
                  <c:v>4.5389207055203542</c:v>
                </c:pt>
                <c:pt idx="12">
                  <c:v>-0.96162141240859</c:v>
                </c:pt>
                <c:pt idx="13">
                  <c:v>-2.2621643224038905</c:v>
                </c:pt>
                <c:pt idx="14">
                  <c:v>-4.270624368397506</c:v>
                </c:pt>
                <c:pt idx="15">
                  <c:v>1.4225404526230534</c:v>
                </c:pt>
                <c:pt idx="16">
                  <c:v>-1.740611376763411</c:v>
                </c:pt>
                <c:pt idx="17">
                  <c:v>-3.7131543835994307</c:v>
                </c:pt>
                <c:pt idx="18">
                  <c:v>-1.3606810413614596</c:v>
                </c:pt>
                <c:pt idx="19">
                  <c:v>-2.3499568533991919</c:v>
                </c:pt>
                <c:pt idx="20">
                  <c:v>6.3859496460132164</c:v>
                </c:pt>
                <c:pt idx="21">
                  <c:v>3.1224649408943321</c:v>
                </c:pt>
                <c:pt idx="22">
                  <c:v>4.8986083859517748E-2</c:v>
                </c:pt>
                <c:pt idx="23">
                  <c:v>5.8029362453505655</c:v>
                </c:pt>
                <c:pt idx="24">
                  <c:v>-0.22737873687677279</c:v>
                </c:pt>
                <c:pt idx="25">
                  <c:v>-1.2027711153920393</c:v>
                </c:pt>
                <c:pt idx="26">
                  <c:v>4.8461144557800822</c:v>
                </c:pt>
                <c:pt idx="27">
                  <c:v>1.6210725719718369</c:v>
                </c:pt>
                <c:pt idx="28">
                  <c:v>-2.8522387123396413</c:v>
                </c:pt>
                <c:pt idx="29">
                  <c:v>-0.2365219411931605</c:v>
                </c:pt>
                <c:pt idx="30">
                  <c:v>-2.5501752884926532</c:v>
                </c:pt>
                <c:pt idx="31">
                  <c:v>-4.3003914491839055</c:v>
                </c:pt>
                <c:pt idx="32">
                  <c:v>3.3496573928278508</c:v>
                </c:pt>
                <c:pt idx="33">
                  <c:v>5.6721609485226736</c:v>
                </c:pt>
                <c:pt idx="34">
                  <c:v>-4.7232924097812088</c:v>
                </c:pt>
                <c:pt idx="35">
                  <c:v>1.8892541893166594</c:v>
                </c:pt>
                <c:pt idx="36">
                  <c:v>-2.2879727595513657</c:v>
                </c:pt>
                <c:pt idx="37">
                  <c:v>-1.7468586137558475</c:v>
                </c:pt>
                <c:pt idx="38">
                  <c:v>-2.1758092016988257</c:v>
                </c:pt>
                <c:pt idx="39">
                  <c:v>-2.8640709953517103</c:v>
                </c:pt>
                <c:pt idx="40">
                  <c:v>0.31534594943570937</c:v>
                </c:pt>
                <c:pt idx="41">
                  <c:v>-2.285926327783784</c:v>
                </c:pt>
                <c:pt idx="42">
                  <c:v>0.95015981971502583</c:v>
                </c:pt>
                <c:pt idx="43">
                  <c:v>-0.43031506406458675</c:v>
                </c:pt>
                <c:pt idx="44">
                  <c:v>-1.0209276919470085</c:v>
                </c:pt>
                <c:pt idx="45">
                  <c:v>-3.0194105686489365</c:v>
                </c:pt>
                <c:pt idx="46">
                  <c:v>-1.9713602065359055</c:v>
                </c:pt>
                <c:pt idx="47">
                  <c:v>3.0164800595235874</c:v>
                </c:pt>
                <c:pt idx="48">
                  <c:v>1.2451627156824543</c:v>
                </c:pt>
                <c:pt idx="49">
                  <c:v>-2.8751714621109272</c:v>
                </c:pt>
                <c:pt idx="50">
                  <c:v>0.41885997977556144</c:v>
                </c:pt>
                <c:pt idx="51">
                  <c:v>1.7709388461922231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B8-423D-A794-AE0E28A3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63"/>
        <c:axId val="90270361"/>
      </c:scatterChart>
      <c:valAx>
        <c:axId val="81872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Previsto (MWh)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270361"/>
        <c:crosses val="autoZero"/>
        <c:crossBetween val="midCat"/>
      </c:valAx>
      <c:valAx>
        <c:axId val="90270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Resíduo (MWh)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87263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1472698833826499E-2"/>
          <c:y val="6.9990419886924879E-2"/>
          <c:w val="0.88823108931721317"/>
          <c:h val="0.772083649774892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'4.3 Economia Evitada'!$H$18:$H$69</c:f>
              <c:numCache>
                <c:formatCode>0.0</c:formatCode>
                <c:ptCount val="52"/>
                <c:pt idx="0">
                  <c:v>57.581079540975111</c:v>
                </c:pt>
                <c:pt idx="1">
                  <c:v>64.47637701517553</c:v>
                </c:pt>
                <c:pt idx="2">
                  <c:v>59.809250416866547</c:v>
                </c:pt>
                <c:pt idx="3">
                  <c:v>57.743604613332309</c:v>
                </c:pt>
                <c:pt idx="4">
                  <c:v>58.300535917370325</c:v>
                </c:pt>
                <c:pt idx="5">
                  <c:v>56.257886733331389</c:v>
                </c:pt>
                <c:pt idx="6">
                  <c:v>55.048083146535078</c:v>
                </c:pt>
                <c:pt idx="7">
                  <c:v>60.275176642326301</c:v>
                </c:pt>
                <c:pt idx="8">
                  <c:v>60.345750509329889</c:v>
                </c:pt>
                <c:pt idx="9">
                  <c:v>62.283531375052462</c:v>
                </c:pt>
                <c:pt idx="10">
                  <c:v>58.268818562598085</c:v>
                </c:pt>
                <c:pt idx="11">
                  <c:v>57.175769999913399</c:v>
                </c:pt>
                <c:pt idx="12">
                  <c:v>56.620746235618924</c:v>
                </c:pt>
                <c:pt idx="13">
                  <c:v>59.096366910695508</c:v>
                </c:pt>
                <c:pt idx="14">
                  <c:v>57.336256703105335</c:v>
                </c:pt>
                <c:pt idx="15">
                  <c:v>51.242706165802161</c:v>
                </c:pt>
                <c:pt idx="16">
                  <c:v>53.99453957338838</c:v>
                </c:pt>
                <c:pt idx="17">
                  <c:v>50.06865522856512</c:v>
                </c:pt>
                <c:pt idx="18">
                  <c:v>54.105505442884152</c:v>
                </c:pt>
                <c:pt idx="19">
                  <c:v>51.735496460197083</c:v>
                </c:pt>
                <c:pt idx="20">
                  <c:v>51.03227231730358</c:v>
                </c:pt>
                <c:pt idx="21">
                  <c:v>52.984199095493636</c:v>
                </c:pt>
                <c:pt idx="22">
                  <c:v>52.496237032174946</c:v>
                </c:pt>
                <c:pt idx="23">
                  <c:v>54.587593523638134</c:v>
                </c:pt>
                <c:pt idx="24">
                  <c:v>50.396585525103518</c:v>
                </c:pt>
                <c:pt idx="25">
                  <c:v>51.155573528030487</c:v>
                </c:pt>
                <c:pt idx="26">
                  <c:v>52.112719415214741</c:v>
                </c:pt>
                <c:pt idx="27">
                  <c:v>53.641392934546843</c:v>
                </c:pt>
                <c:pt idx="28">
                  <c:v>50.670445671212292</c:v>
                </c:pt>
                <c:pt idx="29">
                  <c:v>54.377727695965916</c:v>
                </c:pt>
                <c:pt idx="30">
                  <c:v>55.444361314328546</c:v>
                </c:pt>
                <c:pt idx="31">
                  <c:v>56.014717028317733</c:v>
                </c:pt>
                <c:pt idx="32">
                  <c:v>51.473963064070631</c:v>
                </c:pt>
                <c:pt idx="33">
                  <c:v>55.580284193068508</c:v>
                </c:pt>
                <c:pt idx="34">
                  <c:v>51.370381368050943</c:v>
                </c:pt>
                <c:pt idx="35">
                  <c:v>57.009470594927564</c:v>
                </c:pt>
                <c:pt idx="36">
                  <c:v>51.268047327927292</c:v>
                </c:pt>
                <c:pt idx="37">
                  <c:v>53.239077515429727</c:v>
                </c:pt>
                <c:pt idx="38">
                  <c:v>55.506503816037821</c:v>
                </c:pt>
                <c:pt idx="39">
                  <c:v>51.539062256941747</c:v>
                </c:pt>
                <c:pt idx="40">
                  <c:v>56.673886657511048</c:v>
                </c:pt>
                <c:pt idx="41">
                  <c:v>52.231809327665701</c:v>
                </c:pt>
                <c:pt idx="42">
                  <c:v>51.96833745058612</c:v>
                </c:pt>
                <c:pt idx="43">
                  <c:v>55.819916122590826</c:v>
                </c:pt>
                <c:pt idx="44">
                  <c:v>58.668773982623804</c:v>
                </c:pt>
                <c:pt idx="45">
                  <c:v>52.472820655916593</c:v>
                </c:pt>
                <c:pt idx="46">
                  <c:v>50.511076171861703</c:v>
                </c:pt>
                <c:pt idx="47">
                  <c:v>57.632414543810995</c:v>
                </c:pt>
                <c:pt idx="48">
                  <c:v>55.660940421035548</c:v>
                </c:pt>
                <c:pt idx="49">
                  <c:v>59.002982156453953</c:v>
                </c:pt>
                <c:pt idx="50">
                  <c:v>64.321894238515341</c:v>
                </c:pt>
                <c:pt idx="51">
                  <c:v>64.777091811313824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2-4EF3-A9A8-8BE495F0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0972"/>
        <c:axId val="11681248"/>
      </c:barChart>
      <c:lineChart>
        <c:grouping val="standard"/>
        <c:varyColors val="0"/>
        <c:ser>
          <c:idx val="1"/>
          <c:order val="1"/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'4.3 Economia Evitada'!$G$18:$G$69</c:f>
              <c:numCache>
                <c:formatCode>0.0</c:formatCode>
                <c:ptCount val="52"/>
                <c:pt idx="0">
                  <c:v>272.38107954097512</c:v>
                </c:pt>
                <c:pt idx="1">
                  <c:v>284.07637701517552</c:v>
                </c:pt>
                <c:pt idx="2">
                  <c:v>283.90925041686654</c:v>
                </c:pt>
                <c:pt idx="3">
                  <c:v>280.9436046133323</c:v>
                </c:pt>
                <c:pt idx="4">
                  <c:v>280.00053591737031</c:v>
                </c:pt>
                <c:pt idx="5">
                  <c:v>277.35788673333138</c:v>
                </c:pt>
                <c:pt idx="6">
                  <c:v>271.74808314653507</c:v>
                </c:pt>
                <c:pt idx="7">
                  <c:v>286.47517664232629</c:v>
                </c:pt>
                <c:pt idx="8">
                  <c:v>281.04575050932988</c:v>
                </c:pt>
                <c:pt idx="9">
                  <c:v>271.58353137505247</c:v>
                </c:pt>
                <c:pt idx="10">
                  <c:v>277.5688185625981</c:v>
                </c:pt>
                <c:pt idx="11">
                  <c:v>269.0757699999134</c:v>
                </c:pt>
                <c:pt idx="12">
                  <c:v>269.92074623561894</c:v>
                </c:pt>
                <c:pt idx="13">
                  <c:v>262.59636691069551</c:v>
                </c:pt>
                <c:pt idx="14">
                  <c:v>257.53625670310532</c:v>
                </c:pt>
                <c:pt idx="15">
                  <c:v>257.84270616580216</c:v>
                </c:pt>
                <c:pt idx="16">
                  <c:v>254.79453957338839</c:v>
                </c:pt>
                <c:pt idx="17">
                  <c:v>247.86865522856513</c:v>
                </c:pt>
                <c:pt idx="18">
                  <c:v>256.00550544288416</c:v>
                </c:pt>
                <c:pt idx="19">
                  <c:v>247.33549646019708</c:v>
                </c:pt>
                <c:pt idx="20">
                  <c:v>252.83227231730359</c:v>
                </c:pt>
                <c:pt idx="21">
                  <c:v>245.08419909549363</c:v>
                </c:pt>
                <c:pt idx="22">
                  <c:v>247.49623703217495</c:v>
                </c:pt>
                <c:pt idx="23">
                  <c:v>252.08759352363813</c:v>
                </c:pt>
                <c:pt idx="24">
                  <c:v>234.79658552510352</c:v>
                </c:pt>
                <c:pt idx="25">
                  <c:v>239.75557352803048</c:v>
                </c:pt>
                <c:pt idx="26">
                  <c:v>249.01271941521475</c:v>
                </c:pt>
                <c:pt idx="27">
                  <c:v>245.64139293454684</c:v>
                </c:pt>
                <c:pt idx="28">
                  <c:v>253.17044567121229</c:v>
                </c:pt>
                <c:pt idx="29">
                  <c:v>245.67772769596593</c:v>
                </c:pt>
                <c:pt idx="30">
                  <c:v>256.74436131432856</c:v>
                </c:pt>
                <c:pt idx="31">
                  <c:v>255.01471702831773</c:v>
                </c:pt>
                <c:pt idx="32">
                  <c:v>258.47396306407063</c:v>
                </c:pt>
                <c:pt idx="33">
                  <c:v>259.88028419306852</c:v>
                </c:pt>
                <c:pt idx="34">
                  <c:v>255.27038136805095</c:v>
                </c:pt>
                <c:pt idx="35">
                  <c:v>250.10947059492756</c:v>
                </c:pt>
                <c:pt idx="36">
                  <c:v>247.0680473279273</c:v>
                </c:pt>
                <c:pt idx="37">
                  <c:v>259.13907751542973</c:v>
                </c:pt>
                <c:pt idx="38">
                  <c:v>260.20650381603781</c:v>
                </c:pt>
                <c:pt idx="39">
                  <c:v>256.33906225694176</c:v>
                </c:pt>
                <c:pt idx="40">
                  <c:v>258.67388665751105</c:v>
                </c:pt>
                <c:pt idx="41">
                  <c:v>263.7318093276657</c:v>
                </c:pt>
                <c:pt idx="42">
                  <c:v>269.86833745058613</c:v>
                </c:pt>
                <c:pt idx="43">
                  <c:v>257.51991612259081</c:v>
                </c:pt>
                <c:pt idx="44">
                  <c:v>268.6687739826238</c:v>
                </c:pt>
                <c:pt idx="45">
                  <c:v>264.8728206559166</c:v>
                </c:pt>
                <c:pt idx="46">
                  <c:v>258.71107617186169</c:v>
                </c:pt>
                <c:pt idx="47">
                  <c:v>264.23241454381099</c:v>
                </c:pt>
                <c:pt idx="48">
                  <c:v>258.16094042103555</c:v>
                </c:pt>
                <c:pt idx="49">
                  <c:v>272.40298215645396</c:v>
                </c:pt>
                <c:pt idx="50">
                  <c:v>280.72189423851535</c:v>
                </c:pt>
                <c:pt idx="51">
                  <c:v>287.77709181131382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B2-4EF3-A9A8-8BE495F09624}"/>
            </c:ext>
          </c:extLst>
        </c:ser>
        <c:ser>
          <c:idx val="2"/>
          <c:order val="2"/>
          <c:spPr>
            <a:ln w="2844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'4.3 Economia Evitada'!$F$18:$F$69</c:f>
              <c:numCache>
                <c:formatCode>0.0</c:formatCode>
                <c:ptCount val="52"/>
                <c:pt idx="0">
                  <c:v>214.8</c:v>
                </c:pt>
                <c:pt idx="1">
                  <c:v>219.6</c:v>
                </c:pt>
                <c:pt idx="2">
                  <c:v>224.1</c:v>
                </c:pt>
                <c:pt idx="3">
                  <c:v>223.2</c:v>
                </c:pt>
                <c:pt idx="4">
                  <c:v>221.7</c:v>
                </c:pt>
                <c:pt idx="5">
                  <c:v>221.1</c:v>
                </c:pt>
                <c:pt idx="6">
                  <c:v>216.7</c:v>
                </c:pt>
                <c:pt idx="7">
                  <c:v>226.2</c:v>
                </c:pt>
                <c:pt idx="8">
                  <c:v>220.7</c:v>
                </c:pt>
                <c:pt idx="9">
                  <c:v>209.3</c:v>
                </c:pt>
                <c:pt idx="10">
                  <c:v>219.3</c:v>
                </c:pt>
                <c:pt idx="11">
                  <c:v>211.9</c:v>
                </c:pt>
                <c:pt idx="12">
                  <c:v>213.3</c:v>
                </c:pt>
                <c:pt idx="13">
                  <c:v>203.5</c:v>
                </c:pt>
                <c:pt idx="14">
                  <c:v>200.2</c:v>
                </c:pt>
                <c:pt idx="15">
                  <c:v>206.6</c:v>
                </c:pt>
                <c:pt idx="16">
                  <c:v>200.8</c:v>
                </c:pt>
                <c:pt idx="17">
                  <c:v>197.8</c:v>
                </c:pt>
                <c:pt idx="18">
                  <c:v>201.9</c:v>
                </c:pt>
                <c:pt idx="19">
                  <c:v>195.6</c:v>
                </c:pt>
                <c:pt idx="20">
                  <c:v>201.8</c:v>
                </c:pt>
                <c:pt idx="21">
                  <c:v>192.1</c:v>
                </c:pt>
                <c:pt idx="22">
                  <c:v>195</c:v>
                </c:pt>
                <c:pt idx="23">
                  <c:v>197.5</c:v>
                </c:pt>
                <c:pt idx="24">
                  <c:v>184.4</c:v>
                </c:pt>
                <c:pt idx="25">
                  <c:v>188.6</c:v>
                </c:pt>
                <c:pt idx="26">
                  <c:v>196.9</c:v>
                </c:pt>
                <c:pt idx="27">
                  <c:v>192</c:v>
                </c:pt>
                <c:pt idx="28">
                  <c:v>202.5</c:v>
                </c:pt>
                <c:pt idx="29">
                  <c:v>191.3</c:v>
                </c:pt>
                <c:pt idx="30">
                  <c:v>201.3</c:v>
                </c:pt>
                <c:pt idx="31">
                  <c:v>199</c:v>
                </c:pt>
                <c:pt idx="32">
                  <c:v>207</c:v>
                </c:pt>
                <c:pt idx="33">
                  <c:v>204.3</c:v>
                </c:pt>
                <c:pt idx="34">
                  <c:v>203.9</c:v>
                </c:pt>
                <c:pt idx="35">
                  <c:v>193.1</c:v>
                </c:pt>
                <c:pt idx="36">
                  <c:v>195.8</c:v>
                </c:pt>
                <c:pt idx="37">
                  <c:v>205.9</c:v>
                </c:pt>
                <c:pt idx="38">
                  <c:v>204.7</c:v>
                </c:pt>
                <c:pt idx="39">
                  <c:v>204.8</c:v>
                </c:pt>
                <c:pt idx="40">
                  <c:v>202</c:v>
                </c:pt>
                <c:pt idx="41">
                  <c:v>211.5</c:v>
                </c:pt>
                <c:pt idx="42">
                  <c:v>217.9</c:v>
                </c:pt>
                <c:pt idx="43">
                  <c:v>201.7</c:v>
                </c:pt>
                <c:pt idx="44">
                  <c:v>210</c:v>
                </c:pt>
                <c:pt idx="45">
                  <c:v>212.4</c:v>
                </c:pt>
                <c:pt idx="46">
                  <c:v>208.2</c:v>
                </c:pt>
                <c:pt idx="47">
                  <c:v>206.6</c:v>
                </c:pt>
                <c:pt idx="48">
                  <c:v>202.5</c:v>
                </c:pt>
                <c:pt idx="49">
                  <c:v>213.4</c:v>
                </c:pt>
                <c:pt idx="50">
                  <c:v>216.4</c:v>
                </c:pt>
                <c:pt idx="51">
                  <c:v>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9B2-4EF3-A9A8-8BE495F09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620972"/>
        <c:axId val="11681248"/>
      </c:lineChart>
      <c:catAx>
        <c:axId val="2620972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681248"/>
        <c:crosses val="autoZero"/>
        <c:auto val="1"/>
        <c:lblAlgn val="ctr"/>
        <c:lblOffset val="100"/>
        <c:tickMarkSkip val="5"/>
        <c:noMultiLvlLbl val="0"/>
      </c:catAx>
      <c:valAx>
        <c:axId val="11681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2097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9.134006219517192E-2"/>
          <c:y val="4.5326840697114533E-2"/>
          <c:w val="0.90390821619435369"/>
          <c:h val="0.1339523178413474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ANR – Consumo c/ extrusora, LB ajustada e LB + ANR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8764250197817663E-2"/>
          <c:y val="0.1525731016692434"/>
          <c:w val="0.88889179781244609"/>
          <c:h val="0.67970026995119182"/>
        </c:manualLayout>
      </c:layout>
      <c:lineChart>
        <c:grouping val="standard"/>
        <c:varyColors val="0"/>
        <c:ser>
          <c:idx val="0"/>
          <c:order val="0"/>
          <c:tx>
            <c:strRef>
              <c:f>'4.4 ANR'!$D$14</c:f>
              <c:strCache>
                <c:ptCount val="1"/>
                <c:pt idx="0">
                  <c:v>Consumo medido c/ extrusora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'4.4 ANR'!$B$15:$B$66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'4.4 ANR'!$D$15:$D$66</c:f>
              <c:numCache>
                <c:formatCode>0.0</c:formatCode>
                <c:ptCount val="52"/>
                <c:pt idx="0">
                  <c:v>214.8</c:v>
                </c:pt>
                <c:pt idx="1">
                  <c:v>219.6</c:v>
                </c:pt>
                <c:pt idx="2">
                  <c:v>224.1</c:v>
                </c:pt>
                <c:pt idx="3">
                  <c:v>223.2</c:v>
                </c:pt>
                <c:pt idx="4">
                  <c:v>221.7</c:v>
                </c:pt>
                <c:pt idx="5">
                  <c:v>221.1</c:v>
                </c:pt>
                <c:pt idx="6">
                  <c:v>216.7</c:v>
                </c:pt>
                <c:pt idx="7">
                  <c:v>226.2</c:v>
                </c:pt>
                <c:pt idx="8">
                  <c:v>220.7</c:v>
                </c:pt>
                <c:pt idx="9">
                  <c:v>209.3</c:v>
                </c:pt>
                <c:pt idx="10">
                  <c:v>219.3</c:v>
                </c:pt>
                <c:pt idx="11">
                  <c:v>211.9</c:v>
                </c:pt>
                <c:pt idx="12">
                  <c:v>213.3</c:v>
                </c:pt>
                <c:pt idx="13">
                  <c:v>203.5</c:v>
                </c:pt>
                <c:pt idx="14">
                  <c:v>200.2</c:v>
                </c:pt>
                <c:pt idx="15">
                  <c:v>206.6</c:v>
                </c:pt>
                <c:pt idx="16">
                  <c:v>200.8</c:v>
                </c:pt>
                <c:pt idx="17">
                  <c:v>197.8</c:v>
                </c:pt>
                <c:pt idx="18">
                  <c:v>201.9</c:v>
                </c:pt>
                <c:pt idx="19">
                  <c:v>195.6</c:v>
                </c:pt>
                <c:pt idx="20">
                  <c:v>201.8</c:v>
                </c:pt>
                <c:pt idx="21">
                  <c:v>192.1</c:v>
                </c:pt>
                <c:pt idx="22">
                  <c:v>195</c:v>
                </c:pt>
                <c:pt idx="23">
                  <c:v>197.5</c:v>
                </c:pt>
                <c:pt idx="24">
                  <c:v>184.4</c:v>
                </c:pt>
                <c:pt idx="25">
                  <c:v>188.6</c:v>
                </c:pt>
                <c:pt idx="26">
                  <c:v>196.9</c:v>
                </c:pt>
                <c:pt idx="27">
                  <c:v>192</c:v>
                </c:pt>
                <c:pt idx="28">
                  <c:v>202.5</c:v>
                </c:pt>
                <c:pt idx="29">
                  <c:v>206.3</c:v>
                </c:pt>
                <c:pt idx="30">
                  <c:v>216.3</c:v>
                </c:pt>
                <c:pt idx="31">
                  <c:v>214</c:v>
                </c:pt>
                <c:pt idx="32">
                  <c:v>222</c:v>
                </c:pt>
                <c:pt idx="33">
                  <c:v>219.3</c:v>
                </c:pt>
                <c:pt idx="34">
                  <c:v>218.9</c:v>
                </c:pt>
                <c:pt idx="35">
                  <c:v>208.1</c:v>
                </c:pt>
                <c:pt idx="36">
                  <c:v>210.8</c:v>
                </c:pt>
                <c:pt idx="37">
                  <c:v>220.9</c:v>
                </c:pt>
                <c:pt idx="38">
                  <c:v>219.7</c:v>
                </c:pt>
                <c:pt idx="39">
                  <c:v>219.8</c:v>
                </c:pt>
                <c:pt idx="40">
                  <c:v>217</c:v>
                </c:pt>
                <c:pt idx="41">
                  <c:v>226.5</c:v>
                </c:pt>
                <c:pt idx="42">
                  <c:v>232.9</c:v>
                </c:pt>
                <c:pt idx="43">
                  <c:v>216.7</c:v>
                </c:pt>
                <c:pt idx="44">
                  <c:v>225</c:v>
                </c:pt>
                <c:pt idx="45">
                  <c:v>227.4</c:v>
                </c:pt>
                <c:pt idx="46">
                  <c:v>223.2</c:v>
                </c:pt>
                <c:pt idx="47">
                  <c:v>221.6</c:v>
                </c:pt>
                <c:pt idx="48">
                  <c:v>217.5</c:v>
                </c:pt>
                <c:pt idx="49">
                  <c:v>228.4</c:v>
                </c:pt>
                <c:pt idx="50">
                  <c:v>231.4</c:v>
                </c:pt>
                <c:pt idx="51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0E-4E37-9EE0-A47A97E50DE7}"/>
            </c:ext>
          </c:extLst>
        </c:ser>
        <c:ser>
          <c:idx val="1"/>
          <c:order val="1"/>
          <c:tx>
            <c:strRef>
              <c:f>'4.4 ANR'!$E$14</c:f>
              <c:strCache>
                <c:ptCount val="1"/>
                <c:pt idx="0">
                  <c:v>LB ajustada (4.3)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'4.4 ANR'!$B$15:$B$66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'4.4 ANR'!$E$15:$E$66</c:f>
              <c:numCache>
                <c:formatCode>0.0</c:formatCode>
                <c:ptCount val="52"/>
                <c:pt idx="0">
                  <c:v>272.38107954097512</c:v>
                </c:pt>
                <c:pt idx="1">
                  <c:v>284.07637701517552</c:v>
                </c:pt>
                <c:pt idx="2">
                  <c:v>283.90925041686654</c:v>
                </c:pt>
                <c:pt idx="3">
                  <c:v>280.9436046133323</c:v>
                </c:pt>
                <c:pt idx="4">
                  <c:v>280.00053591737031</c:v>
                </c:pt>
                <c:pt idx="5">
                  <c:v>277.35788673333138</c:v>
                </c:pt>
                <c:pt idx="6">
                  <c:v>271.74808314653507</c:v>
                </c:pt>
                <c:pt idx="7">
                  <c:v>286.47517664232629</c:v>
                </c:pt>
                <c:pt idx="8">
                  <c:v>281.04575050932988</c:v>
                </c:pt>
                <c:pt idx="9">
                  <c:v>271.58353137505247</c:v>
                </c:pt>
                <c:pt idx="10">
                  <c:v>277.5688185625981</c:v>
                </c:pt>
                <c:pt idx="11">
                  <c:v>269.0757699999134</c:v>
                </c:pt>
                <c:pt idx="12">
                  <c:v>269.92074623561894</c:v>
                </c:pt>
                <c:pt idx="13">
                  <c:v>262.59636691069551</c:v>
                </c:pt>
                <c:pt idx="14">
                  <c:v>257.53625670310532</c:v>
                </c:pt>
                <c:pt idx="15">
                  <c:v>257.84270616580216</c:v>
                </c:pt>
                <c:pt idx="16">
                  <c:v>254.79453957338839</c:v>
                </c:pt>
                <c:pt idx="17">
                  <c:v>247.86865522856513</c:v>
                </c:pt>
                <c:pt idx="18">
                  <c:v>256.00550544288416</c:v>
                </c:pt>
                <c:pt idx="19">
                  <c:v>247.33549646019708</c:v>
                </c:pt>
                <c:pt idx="20">
                  <c:v>252.83227231730359</c:v>
                </c:pt>
                <c:pt idx="21">
                  <c:v>245.08419909549363</c:v>
                </c:pt>
                <c:pt idx="22">
                  <c:v>247.49623703217495</c:v>
                </c:pt>
                <c:pt idx="23">
                  <c:v>252.08759352363813</c:v>
                </c:pt>
                <c:pt idx="24">
                  <c:v>234.79658552510352</c:v>
                </c:pt>
                <c:pt idx="25">
                  <c:v>239.75557352803048</c:v>
                </c:pt>
                <c:pt idx="26">
                  <c:v>249.01271941521475</c:v>
                </c:pt>
                <c:pt idx="27">
                  <c:v>245.64139293454684</c:v>
                </c:pt>
                <c:pt idx="28">
                  <c:v>253.17044567121229</c:v>
                </c:pt>
                <c:pt idx="29">
                  <c:v>245.67772769596593</c:v>
                </c:pt>
                <c:pt idx="30">
                  <c:v>256.74436131432856</c:v>
                </c:pt>
                <c:pt idx="31">
                  <c:v>255.01471702831773</c:v>
                </c:pt>
                <c:pt idx="32">
                  <c:v>258.47396306407063</c:v>
                </c:pt>
                <c:pt idx="33">
                  <c:v>259.88028419306852</c:v>
                </c:pt>
                <c:pt idx="34">
                  <c:v>255.27038136805095</c:v>
                </c:pt>
                <c:pt idx="35">
                  <c:v>250.10947059492756</c:v>
                </c:pt>
                <c:pt idx="36">
                  <c:v>247.0680473279273</c:v>
                </c:pt>
                <c:pt idx="37">
                  <c:v>259.13907751542973</c:v>
                </c:pt>
                <c:pt idx="38">
                  <c:v>260.20650381603781</c:v>
                </c:pt>
                <c:pt idx="39">
                  <c:v>256.33906225694176</c:v>
                </c:pt>
                <c:pt idx="40">
                  <c:v>258.67388665751105</c:v>
                </c:pt>
                <c:pt idx="41">
                  <c:v>263.7318093276657</c:v>
                </c:pt>
                <c:pt idx="42">
                  <c:v>269.86833745058613</c:v>
                </c:pt>
                <c:pt idx="43">
                  <c:v>257.51991612259081</c:v>
                </c:pt>
                <c:pt idx="44">
                  <c:v>268.6687739826238</c:v>
                </c:pt>
                <c:pt idx="45">
                  <c:v>264.8728206559166</c:v>
                </c:pt>
                <c:pt idx="46">
                  <c:v>258.71107617186169</c:v>
                </c:pt>
                <c:pt idx="47">
                  <c:v>264.23241454381099</c:v>
                </c:pt>
                <c:pt idx="48">
                  <c:v>258.16094042103555</c:v>
                </c:pt>
                <c:pt idx="49">
                  <c:v>272.40298215645396</c:v>
                </c:pt>
                <c:pt idx="50">
                  <c:v>280.72189423851535</c:v>
                </c:pt>
                <c:pt idx="51">
                  <c:v>287.77709181131382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0E-4E37-9EE0-A47A97E50DE7}"/>
            </c:ext>
          </c:extLst>
        </c:ser>
        <c:ser>
          <c:idx val="2"/>
          <c:order val="2"/>
          <c:tx>
            <c:strRef>
              <c:f>'4.4 ANR'!$G$14</c:f>
              <c:strCache>
                <c:ptCount val="1"/>
                <c:pt idx="0">
                  <c:v>LB ajustada + ANR</c:v>
                </c:pt>
              </c:strCache>
            </c:strRef>
          </c:tx>
          <c:spPr>
            <a:ln w="2844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'4.4 ANR'!$B$15:$B$66</c:f>
              <c:numCache>
                <c:formatCode>0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'4.4 ANR'!$G$15:$G$66</c:f>
              <c:numCache>
                <c:formatCode>0.0</c:formatCode>
                <c:ptCount val="52"/>
                <c:pt idx="0">
                  <c:v>272.38107954097512</c:v>
                </c:pt>
                <c:pt idx="1">
                  <c:v>284.07637701517552</c:v>
                </c:pt>
                <c:pt idx="2">
                  <c:v>283.90925041686654</c:v>
                </c:pt>
                <c:pt idx="3">
                  <c:v>280.9436046133323</c:v>
                </c:pt>
                <c:pt idx="4">
                  <c:v>280.00053591737031</c:v>
                </c:pt>
                <c:pt idx="5">
                  <c:v>277.35788673333138</c:v>
                </c:pt>
                <c:pt idx="6">
                  <c:v>271.74808314653507</c:v>
                </c:pt>
                <c:pt idx="7">
                  <c:v>286.47517664232629</c:v>
                </c:pt>
                <c:pt idx="8">
                  <c:v>281.04575050932988</c:v>
                </c:pt>
                <c:pt idx="9">
                  <c:v>271.58353137505247</c:v>
                </c:pt>
                <c:pt idx="10">
                  <c:v>277.5688185625981</c:v>
                </c:pt>
                <c:pt idx="11">
                  <c:v>269.0757699999134</c:v>
                </c:pt>
                <c:pt idx="12">
                  <c:v>269.92074623561894</c:v>
                </c:pt>
                <c:pt idx="13">
                  <c:v>262.59636691069551</c:v>
                </c:pt>
                <c:pt idx="14">
                  <c:v>257.53625670310532</c:v>
                </c:pt>
                <c:pt idx="15">
                  <c:v>257.84270616580216</c:v>
                </c:pt>
                <c:pt idx="16">
                  <c:v>254.79453957338839</c:v>
                </c:pt>
                <c:pt idx="17">
                  <c:v>247.86865522856513</c:v>
                </c:pt>
                <c:pt idx="18">
                  <c:v>256.00550544288416</c:v>
                </c:pt>
                <c:pt idx="19">
                  <c:v>247.33549646019708</c:v>
                </c:pt>
                <c:pt idx="20">
                  <c:v>252.83227231730359</c:v>
                </c:pt>
                <c:pt idx="21">
                  <c:v>245.08419909549363</c:v>
                </c:pt>
                <c:pt idx="22">
                  <c:v>247.49623703217495</c:v>
                </c:pt>
                <c:pt idx="23">
                  <c:v>252.08759352363813</c:v>
                </c:pt>
                <c:pt idx="24">
                  <c:v>234.79658552510352</c:v>
                </c:pt>
                <c:pt idx="25">
                  <c:v>239.75557352803048</c:v>
                </c:pt>
                <c:pt idx="26">
                  <c:v>249.01271941521475</c:v>
                </c:pt>
                <c:pt idx="27">
                  <c:v>245.64139293454684</c:v>
                </c:pt>
                <c:pt idx="28">
                  <c:v>253.17044567121229</c:v>
                </c:pt>
                <c:pt idx="29">
                  <c:v>260.67772769596593</c:v>
                </c:pt>
                <c:pt idx="30">
                  <c:v>271.74436131432856</c:v>
                </c:pt>
                <c:pt idx="31">
                  <c:v>270.0147170283177</c:v>
                </c:pt>
                <c:pt idx="32">
                  <c:v>273.47396306407063</c:v>
                </c:pt>
                <c:pt idx="33">
                  <c:v>274.88028419306852</c:v>
                </c:pt>
                <c:pt idx="34">
                  <c:v>270.27038136805095</c:v>
                </c:pt>
                <c:pt idx="35">
                  <c:v>265.10947059492753</c:v>
                </c:pt>
                <c:pt idx="36">
                  <c:v>262.06804732792727</c:v>
                </c:pt>
                <c:pt idx="37">
                  <c:v>274.13907751542973</c:v>
                </c:pt>
                <c:pt idx="38">
                  <c:v>275.20650381603781</c:v>
                </c:pt>
                <c:pt idx="39">
                  <c:v>271.33906225694176</c:v>
                </c:pt>
                <c:pt idx="40">
                  <c:v>273.67388665751105</c:v>
                </c:pt>
                <c:pt idx="41">
                  <c:v>278.7318093276657</c:v>
                </c:pt>
                <c:pt idx="42">
                  <c:v>284.86833745058613</c:v>
                </c:pt>
                <c:pt idx="43">
                  <c:v>272.51991612259081</c:v>
                </c:pt>
                <c:pt idx="44">
                  <c:v>283.6687739826238</c:v>
                </c:pt>
                <c:pt idx="45">
                  <c:v>279.8728206559166</c:v>
                </c:pt>
                <c:pt idx="46">
                  <c:v>273.71107617186169</c:v>
                </c:pt>
                <c:pt idx="47">
                  <c:v>279.23241454381099</c:v>
                </c:pt>
                <c:pt idx="48">
                  <c:v>273.16094042103555</c:v>
                </c:pt>
                <c:pt idx="49">
                  <c:v>287.40298215645396</c:v>
                </c:pt>
                <c:pt idx="50">
                  <c:v>295.72189423851535</c:v>
                </c:pt>
                <c:pt idx="51">
                  <c:v>302.77709181131382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0E-4E37-9EE0-A47A97E50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8048270"/>
        <c:axId val="345468"/>
      </c:lineChart>
      <c:catAx>
        <c:axId val="68048270"/>
        <c:scaling>
          <c:orientation val="minMax"/>
        </c:scaling>
        <c:delete val="0"/>
        <c:axPos val="b"/>
        <c:majorGridlines/>
        <c:minorGridlines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5468"/>
        <c:crosses val="autoZero"/>
        <c:auto val="1"/>
        <c:lblAlgn val="ctr"/>
        <c:lblOffset val="100"/>
        <c:noMultiLvlLbl val="0"/>
      </c:catAx>
      <c:valAx>
        <c:axId val="34546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MWh/semana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804827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75216296918603"/>
          <c:y val="0.10608296680785211"/>
          <c:w val="0.88794670157374933"/>
          <c:h val="0.19670576747652019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648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1</xdr:row>
      <xdr:rowOff>900</xdr:rowOff>
    </xdr:from>
    <xdr:to>
      <xdr:col>20</xdr:col>
      <xdr:colOff>168240</xdr:colOff>
      <xdr:row>14</xdr:row>
      <xdr:rowOff>173430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255270</xdr:colOff>
      <xdr:row>16</xdr:row>
      <xdr:rowOff>37170</xdr:rowOff>
    </xdr:from>
    <xdr:to>
      <xdr:col>18</xdr:col>
      <xdr:colOff>292245</xdr:colOff>
      <xdr:row>31</xdr:row>
      <xdr:rowOff>142950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142874</xdr:colOff>
      <xdr:row>3</xdr:row>
      <xdr:rowOff>168540</xdr:rowOff>
    </xdr:from>
    <xdr:to>
      <xdr:col>10</xdr:col>
      <xdr:colOff>0</xdr:colOff>
      <xdr:row>14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57148</xdr:colOff>
      <xdr:row>1</xdr:row>
      <xdr:rowOff>2806</xdr:rowOff>
    </xdr:from>
    <xdr:to>
      <xdr:col>20</xdr:col>
      <xdr:colOff>323850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5:J57" totalsRowShown="0" headerRowDxfId="70" dataDxfId="68" headerRowBorderDxfId="69" tableBorderDxfId="67" totalsRowBorderDxfId="66">
  <autoFilter ref="B5:J57" xr:uid="{00000000-0009-0000-0100-000001000000}"/>
  <tableColumns count="9">
    <tableColumn id="1" xr3:uid="{00000000-0010-0000-0000-000001000000}" name="Semana" dataDxfId="65"/>
    <tableColumn id="2" xr3:uid="{00000000-0010-0000-0000-000002000000}" name="Consumo EE (MWh)" dataDxfId="64"/>
    <tableColumn id="3" xr3:uid="{00000000-0010-0000-0000-000003000000}" name="P1 (mil unid)" dataDxfId="63"/>
    <tableColumn id="4" xr3:uid="{00000000-0010-0000-0000-000004000000}" name="P2 (mil unid)" dataDxfId="62"/>
    <tableColumn id="5" xr3:uid="{00000000-0010-0000-0000-000005000000}" name="P3 (mil unid)" dataDxfId="61"/>
    <tableColumn id="6" xr3:uid="{00000000-0010-0000-0000-000006000000}" name="P4 (mil unid)" dataDxfId="60"/>
    <tableColumn id="7" xr3:uid="{00000000-0010-0000-0000-000007000000}" name="P5 (mil unid)" dataDxfId="59"/>
    <tableColumn id="8" xr3:uid="{00000000-0010-0000-0000-000008000000}" name="Temp Amb (°C)" dataDxfId="58"/>
    <tableColumn id="9" xr3:uid="{00000000-0010-0000-0000-000009000000}" name="Umidade Rel (%)" dataDxfId="5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B5:M57" totalsRowShown="0" headerRowDxfId="56" dataDxfId="54" headerRowBorderDxfId="55" tableBorderDxfId="53" totalsRowBorderDxfId="52">
  <autoFilter ref="B5:M57" xr:uid="{00000000-0009-0000-0100-000002000000}"/>
  <tableColumns count="12">
    <tableColumn id="1" xr3:uid="{00000000-0010-0000-0100-000001000000}" name="Semana" dataDxfId="51"/>
    <tableColumn id="2" xr3:uid="{00000000-0010-0000-0100-000002000000}" name="Consumo Medido (MWh)" dataDxfId="50"/>
    <tableColumn id="3" xr3:uid="{00000000-0010-0000-0100-000003000000}" name="P1 (mil unid)" dataDxfId="49"/>
    <tableColumn id="4" xr3:uid="{00000000-0010-0000-0100-000004000000}" name="P2 (mil unid)" dataDxfId="48"/>
    <tableColumn id="5" xr3:uid="{00000000-0010-0000-0100-000005000000}" name="P3 (mil unid)" dataDxfId="47"/>
    <tableColumn id="6" xr3:uid="{00000000-0010-0000-0100-000006000000}" name="P4 (mil unid)" dataDxfId="46"/>
    <tableColumn id="7" xr3:uid="{00000000-0010-0000-0100-000007000000}" name="P5 (mil unid)" dataDxfId="45"/>
    <tableColumn id="8" xr3:uid="{00000000-0010-0000-0100-000008000000}" name="Temp Amb (°C)" dataDxfId="44"/>
    <tableColumn id="9" xr3:uid="{00000000-0010-0000-0100-000009000000}" name="Umidade Rel (%)" dataDxfId="43"/>
    <tableColumn id="10" xr3:uid="{00000000-0010-0000-0100-00000A000000}" name="LB Ajustada (MWh)" dataDxfId="42">
      <calculatedColumnFormula>'4.2c Modelo Final'!$C$7+'4.2c Modelo Final'!$C$8*D6+'4.2c Modelo Final'!$C$9*E6+'4.2c Modelo Final'!$C$10*I6</calculatedColumnFormula>
    </tableColumn>
    <tableColumn id="11" xr3:uid="{00000000-0010-0000-0100-00000B000000}" name="Economia (MWh)" dataDxfId="41">
      <calculatedColumnFormula>K6-C6</calculatedColumnFormula>
    </tableColumn>
    <tableColumn id="12" xr3:uid="{00000000-0010-0000-0100-00000C000000}" name="Economia (%)" dataDxfId="40">
      <calculatedColumnFormula>L6/K6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B6:I14" totalsRowShown="0" headerRowDxfId="39" dataDxfId="37" headerRowBorderDxfId="38" tableBorderDxfId="36" totalsRowBorderDxfId="35">
  <autoFilter ref="B6:I14" xr:uid="{00000000-0009-0000-0100-000003000000}"/>
  <tableColumns count="8">
    <tableColumn id="1" xr3:uid="{00000000-0010-0000-0200-000001000000}" name="Termo" dataDxfId="34"/>
    <tableColumn id="2" xr3:uid="{00000000-0010-0000-0200-000002000000}" name="Coeficiente" dataDxfId="33"/>
    <tableColumn id="3" xr3:uid="{00000000-0010-0000-0200-000003000000}" name="Erro-padrão" dataDxfId="32"/>
    <tableColumn id="4" xr3:uid="{00000000-0010-0000-0200-000004000000}" name="t-stat" dataDxfId="31">
      <calculatedColumnFormula>C7/D7</calculatedColumnFormula>
    </tableColumn>
    <tableColumn id="5" xr3:uid="{00000000-0010-0000-0200-000005000000}" name="p-valor" dataDxfId="30">
      <calculatedColumnFormula>TDIST(ABS(E7),$C$21,2)</calculatedColumnFormula>
    </tableColumn>
    <tableColumn id="6" xr3:uid="{00000000-0010-0000-0200-000006000000}" name="IC95% inf." dataDxfId="29">
      <calculatedColumnFormula>C7-TINV(0.05,$C$21)*D7</calculatedColumnFormula>
    </tableColumn>
    <tableColumn id="7" xr3:uid="{00000000-0010-0000-0200-000007000000}" name="IC95% sup." dataDxfId="28">
      <calculatedColumnFormula>C7+TINV(0.05,$C$21)*D7</calculatedColumnFormula>
    </tableColumn>
    <tableColumn id="8" xr3:uid="{00000000-0010-0000-0200-000008000000}" name="Decisão (p &lt; α)" dataDxfId="27">
      <calculatedColumnFormula>IF(F7&lt;0.05,"Significativa","Não significativa")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5" displayName="Tabela5" ref="B14:I66" totalsRowShown="0" headerRowDxfId="26" dataDxfId="24" headerRowBorderDxfId="25" tableBorderDxfId="23">
  <autoFilter ref="B14:I66" xr:uid="{00000000-0009-0000-0100-000004000000}"/>
  <tableColumns count="8">
    <tableColumn id="1" xr3:uid="{00000000-0010-0000-0300-000001000000}" name="Semana" dataDxfId="22">
      <calculatedColumnFormula>'Ano 1 - Pós-AEE'!B6</calculatedColumnFormula>
    </tableColumn>
    <tableColumn id="2" xr3:uid="{00000000-0010-0000-0300-000002000000}" name="Consumo medido registrado" dataDxfId="21">
      <calculatedColumnFormula>'Ano 1 - Pós-AEE'!C6</calculatedColumnFormula>
    </tableColumn>
    <tableColumn id="3" xr3:uid="{00000000-0010-0000-0300-000003000000}" name="Consumo medido c/ extrusora" dataDxfId="20">
      <calculatedColumnFormula>C15+IF(B15&gt;=$C$6,$C$7,0)</calculatedColumnFormula>
    </tableColumn>
    <tableColumn id="4" xr3:uid="{00000000-0010-0000-0300-000004000000}" name="LB ajustada (4.3)" dataDxfId="19">
      <calculatedColumnFormula>'Ano 1 - Pós-AEE'!K6</calculatedColumnFormula>
    </tableColumn>
    <tableColumn id="5" xr3:uid="{00000000-0010-0000-0300-000005000000}" name="ANR (MWh)" dataDxfId="18">
      <calculatedColumnFormula>IF(B15&gt;=$C$6,$C$7,0)</calculatedColumnFormula>
    </tableColumn>
    <tableColumn id="6" xr3:uid="{00000000-0010-0000-0300-000006000000}" name="LB ajustada + ANR" dataDxfId="17">
      <calculatedColumnFormula>E15+F15</calculatedColumnFormula>
    </tableColumn>
    <tableColumn id="7" xr3:uid="{00000000-0010-0000-0300-000007000000}" name="Economia SEM ANR (subestimada)" dataDxfId="16">
      <calculatedColumnFormula>E15-D15</calculatedColumnFormula>
    </tableColumn>
    <tableColumn id="8" xr3:uid="{00000000-0010-0000-0300-000008000000}" name="Economia COM ANR" dataDxfId="15">
      <calculatedColumnFormula>G15-D15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4" displayName="Tabela4" ref="B6:G58" totalsRowShown="0" headerRowDxfId="14" dataDxfId="12" headerRowBorderDxfId="13" tableBorderDxfId="11" totalsRowBorderDxfId="10">
  <tableColumns count="6">
    <tableColumn id="1" xr3:uid="{00000000-0010-0000-0400-000001000000}" name="P1" dataDxfId="9">
      <calculatedColumnFormula>'Ano 0 - Linha de Base'!D6</calculatedColumnFormula>
    </tableColumn>
    <tableColumn id="2" xr3:uid="{00000000-0010-0000-0400-000002000000}" name="P2" dataDxfId="8">
      <calculatedColumnFormula>'Ano 0 - Linha de Base'!E6</calculatedColumnFormula>
    </tableColumn>
    <tableColumn id="3" xr3:uid="{00000000-0010-0000-0400-000003000000}" name="P3" dataDxfId="7">
      <calculatedColumnFormula>'Ano 0 - Linha de Base'!F6</calculatedColumnFormula>
    </tableColumn>
    <tableColumn id="4" xr3:uid="{00000000-0010-0000-0400-000004000000}" name="P4" dataDxfId="6">
      <calculatedColumnFormula>'Ano 0 - Linha de Base'!G6</calculatedColumnFormula>
    </tableColumn>
    <tableColumn id="5" xr3:uid="{00000000-0010-0000-0400-000005000000}" name="Temp" dataDxfId="5">
      <calculatedColumnFormula>'Ano 0 - Linha de Base'!I6</calculatedColumnFormula>
    </tableColumn>
    <tableColumn id="6" xr3:uid="{00000000-0010-0000-0400-000006000000}" name="UR" dataDxfId="4">
      <calculatedColumnFormula>'Ano 0 - Linha de Base'!J6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showGridLines="0" tabSelected="1" zoomScaleNormal="100" workbookViewId="0">
      <selection activeCell="C6" sqref="C6"/>
    </sheetView>
  </sheetViews>
  <sheetFormatPr defaultColWidth="8.6640625" defaultRowHeight="14.4" x14ac:dyDescent="0.3"/>
  <cols>
    <col min="2" max="2" width="52" customWidth="1"/>
    <col min="3" max="3" width="22" customWidth="1"/>
    <col min="4" max="4" width="21.88671875" customWidth="1"/>
  </cols>
  <sheetData>
    <row r="1" spans="2:4" ht="15" customHeight="1" thickBot="1" x14ac:dyDescent="0.35"/>
    <row r="2" spans="2:4" ht="17.399999999999999" customHeight="1" x14ac:dyDescent="0.3">
      <c r="B2" s="237" t="s">
        <v>0</v>
      </c>
      <c r="C2" s="238"/>
      <c r="D2" s="239"/>
    </row>
    <row r="3" spans="2:4" ht="15" customHeight="1" thickBot="1" x14ac:dyDescent="0.35">
      <c r="B3" s="234" t="s">
        <v>1</v>
      </c>
      <c r="C3" s="235"/>
      <c r="D3" s="236"/>
    </row>
    <row r="4" spans="2:4" ht="15" customHeight="1" thickBot="1" x14ac:dyDescent="0.35"/>
    <row r="5" spans="2:4" x14ac:dyDescent="0.3">
      <c r="B5" s="86" t="s">
        <v>2</v>
      </c>
      <c r="C5" s="87" t="s">
        <v>3</v>
      </c>
      <c r="D5" s="88" t="s">
        <v>4</v>
      </c>
    </row>
    <row r="6" spans="2:4" x14ac:dyDescent="0.3">
      <c r="B6" s="89" t="s">
        <v>5</v>
      </c>
      <c r="C6" s="82" t="str">
        <f>INDEX('4.1a Correlação'!$D$5:$J$5,MATCH(MAX('4.1a Correlação'!$E$17:$E$23),'4.1a Correlação'!$E$17:$E$23,0))</f>
        <v>Temp</v>
      </c>
      <c r="D6" s="90" t="s">
        <v>6</v>
      </c>
    </row>
    <row r="7" spans="2:4" x14ac:dyDescent="0.3">
      <c r="B7" s="89" t="s">
        <v>7</v>
      </c>
      <c r="C7" s="81">
        <f>INDEX('4.1a Correlação'!$C$17:$C$23,MATCH(MAX('4.1a Correlação'!$E$17:$E$23),'4.1a Correlação'!$E$17:$E$23,0))</f>
        <v>0.85872083621117501</v>
      </c>
      <c r="D7" s="90" t="s">
        <v>6</v>
      </c>
    </row>
    <row r="8" spans="2:4" x14ac:dyDescent="0.3">
      <c r="B8" s="89" t="s">
        <v>8</v>
      </c>
      <c r="C8" s="82" t="str">
        <f>'4.2b Filtragem'!C115</f>
        <v>P1, P2, Temp</v>
      </c>
      <c r="D8" s="90" t="s">
        <v>9</v>
      </c>
    </row>
    <row r="9" spans="2:4" x14ac:dyDescent="0.3">
      <c r="B9" s="89" t="s">
        <v>10</v>
      </c>
      <c r="C9" s="222">
        <f>'4.1d Dependência Temp-UR'!C9</f>
        <v>0.85649930493025483</v>
      </c>
      <c r="D9" s="90" t="s">
        <v>11</v>
      </c>
    </row>
    <row r="10" spans="2:4" x14ac:dyDescent="0.3">
      <c r="B10" s="89" t="s">
        <v>12</v>
      </c>
      <c r="C10" s="81">
        <f>'4.1d Dependência Temp-UR'!C19</f>
        <v>0.33938723828028161</v>
      </c>
      <c r="D10" s="90" t="s">
        <v>11</v>
      </c>
    </row>
    <row r="11" spans="2:4" x14ac:dyDescent="0.3">
      <c r="B11" s="89" t="s">
        <v>13</v>
      </c>
      <c r="C11" s="83">
        <f>'4.2c Modelo Final'!$C$7</f>
        <v>111.00554683235053</v>
      </c>
      <c r="D11" s="90" t="s">
        <v>14</v>
      </c>
    </row>
    <row r="12" spans="2:4" x14ac:dyDescent="0.3">
      <c r="B12" s="89" t="s">
        <v>15</v>
      </c>
      <c r="C12" s="83">
        <f>'4.2c Modelo Final'!$C$8</f>
        <v>2.6082653934630557</v>
      </c>
      <c r="D12" s="90" t="s">
        <v>14</v>
      </c>
    </row>
    <row r="13" spans="2:4" x14ac:dyDescent="0.3">
      <c r="B13" s="89" t="s">
        <v>16</v>
      </c>
      <c r="C13" s="83">
        <f>'4.2c Modelo Final'!$C$9</f>
        <v>1.4109802051178448</v>
      </c>
      <c r="D13" s="90" t="s">
        <v>14</v>
      </c>
    </row>
    <row r="14" spans="2:4" x14ac:dyDescent="0.3">
      <c r="B14" s="89" t="s">
        <v>17</v>
      </c>
      <c r="C14" s="83">
        <f>'4.2c Modelo Final'!$C$10</f>
        <v>1.7383993341407129</v>
      </c>
      <c r="D14" s="90" t="s">
        <v>14</v>
      </c>
    </row>
    <row r="15" spans="2:4" x14ac:dyDescent="0.3">
      <c r="B15" s="89" t="s">
        <v>18</v>
      </c>
      <c r="C15" s="83">
        <f>'4.2c Modelo Final'!C13</f>
        <v>0.95131220608007305</v>
      </c>
      <c r="D15" s="90" t="s">
        <v>14</v>
      </c>
    </row>
    <row r="16" spans="2:4" x14ac:dyDescent="0.3">
      <c r="B16" s="89" t="s">
        <v>19</v>
      </c>
      <c r="C16" s="83">
        <f>'4.2c Modelo Final'!C14</f>
        <v>0.94826921896007765</v>
      </c>
      <c r="D16" s="90" t="s">
        <v>14</v>
      </c>
    </row>
    <row r="17" spans="2:4" x14ac:dyDescent="0.3">
      <c r="B17" s="89" t="s">
        <v>20</v>
      </c>
      <c r="C17" s="84">
        <f>'4.2c Modelo Final'!C20</f>
        <v>1.3264461294652596E-2</v>
      </c>
      <c r="D17" s="90" t="s">
        <v>14</v>
      </c>
    </row>
    <row r="18" spans="2:4" x14ac:dyDescent="0.3">
      <c r="B18" s="89" t="s">
        <v>21</v>
      </c>
      <c r="C18" s="82" t="str">
        <f>IF(AND('4.2c Modelo Final'!E27="ATENDE",'4.2c Modelo Final'!E28="ATENDE"),"SIM","NÃO")</f>
        <v>SIM</v>
      </c>
      <c r="D18" s="90" t="s">
        <v>14</v>
      </c>
    </row>
    <row r="19" spans="2:4" x14ac:dyDescent="0.3">
      <c r="B19" s="89" t="s">
        <v>22</v>
      </c>
      <c r="C19" s="85">
        <f>'4.3 Economia Evitada'!E8</f>
        <v>2883.4086959507326</v>
      </c>
      <c r="D19" s="90" t="s">
        <v>23</v>
      </c>
    </row>
    <row r="20" spans="2:4" ht="15" customHeight="1" thickBot="1" x14ac:dyDescent="0.35">
      <c r="B20" s="89" t="s">
        <v>24</v>
      </c>
      <c r="C20" s="84">
        <f>'4.3 Economia Evitada'!E9</f>
        <v>0.21171631629435481</v>
      </c>
      <c r="D20" s="90" t="s">
        <v>23</v>
      </c>
    </row>
    <row r="21" spans="2:4" x14ac:dyDescent="0.3">
      <c r="B21" s="89" t="s">
        <v>25</v>
      </c>
      <c r="C21" s="85">
        <f>'4.4 ANR'!G6</f>
        <v>2538.4086959507326</v>
      </c>
      <c r="D21" s="90" t="s">
        <v>26</v>
      </c>
    </row>
    <row r="22" spans="2:4" x14ac:dyDescent="0.3">
      <c r="B22" s="89" t="s">
        <v>27</v>
      </c>
      <c r="C22" s="85">
        <f>'4.4 ANR'!G7</f>
        <v>2883.4086959507326</v>
      </c>
      <c r="D22" s="90" t="s">
        <v>26</v>
      </c>
    </row>
    <row r="23" spans="2:4" x14ac:dyDescent="0.3">
      <c r="B23" s="91" t="s">
        <v>28</v>
      </c>
      <c r="C23" s="92">
        <f>'4.4 ANR'!G10</f>
        <v>0.20648564904267352</v>
      </c>
      <c r="D23" s="93" t="s">
        <v>26</v>
      </c>
    </row>
    <row r="25" spans="2:4" x14ac:dyDescent="0.3">
      <c r="B25" s="86" t="s">
        <v>29</v>
      </c>
      <c r="C25" s="87" t="s">
        <v>3</v>
      </c>
      <c r="D25" s="88" t="s">
        <v>30</v>
      </c>
    </row>
    <row r="26" spans="2:4" ht="26.4" x14ac:dyDescent="0.3">
      <c r="B26" s="91" t="s">
        <v>31</v>
      </c>
      <c r="C26" s="223">
        <v>0.05</v>
      </c>
      <c r="D26" s="93" t="s">
        <v>32</v>
      </c>
    </row>
  </sheetData>
  <mergeCells count="2">
    <mergeCell ref="B3:D3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9" sqref="B29"/>
    </sheetView>
  </sheetViews>
  <sheetFormatPr defaultColWidth="8.77734375" defaultRowHeight="14.4" x14ac:dyDescent="0.3"/>
  <cols>
    <col min="2" max="2" width="20" customWidth="1"/>
    <col min="3" max="10" width="19.88671875" customWidth="1"/>
  </cols>
  <sheetData>
    <row r="1" spans="2:10" ht="15" customHeight="1" thickBot="1" x14ac:dyDescent="0.35"/>
    <row r="2" spans="2:10" ht="21" customHeight="1" x14ac:dyDescent="0.4">
      <c r="B2" s="241" t="s">
        <v>33</v>
      </c>
      <c r="C2" s="238"/>
      <c r="D2" s="238"/>
      <c r="E2" s="238"/>
      <c r="F2" s="238"/>
      <c r="G2" s="238"/>
      <c r="H2" s="238"/>
      <c r="I2" s="238"/>
      <c r="J2" s="239"/>
    </row>
    <row r="3" spans="2:10" ht="15" customHeight="1" thickBot="1" x14ac:dyDescent="0.35">
      <c r="B3" s="240" t="s">
        <v>34</v>
      </c>
      <c r="C3" s="235"/>
      <c r="D3" s="235"/>
      <c r="E3" s="235"/>
      <c r="F3" s="235"/>
      <c r="G3" s="235"/>
      <c r="H3" s="235"/>
      <c r="I3" s="235"/>
      <c r="J3" s="236"/>
    </row>
    <row r="5" spans="2:10" ht="27.75" customHeight="1" x14ac:dyDescent="0.3">
      <c r="B5" s="46" t="s">
        <v>35</v>
      </c>
      <c r="C5" s="47" t="s">
        <v>36</v>
      </c>
      <c r="D5" s="47" t="s">
        <v>37</v>
      </c>
      <c r="E5" s="47" t="s">
        <v>38</v>
      </c>
      <c r="F5" s="47" t="s">
        <v>39</v>
      </c>
      <c r="G5" s="47" t="s">
        <v>40</v>
      </c>
      <c r="H5" s="47" t="s">
        <v>41</v>
      </c>
      <c r="I5" s="47" t="s">
        <v>42</v>
      </c>
      <c r="J5" s="48" t="s">
        <v>43</v>
      </c>
    </row>
    <row r="6" spans="2:10" ht="19.5" customHeight="1" x14ac:dyDescent="0.3">
      <c r="B6" s="42">
        <v>1</v>
      </c>
      <c r="C6" s="40">
        <v>277</v>
      </c>
      <c r="D6" s="40">
        <v>24</v>
      </c>
      <c r="E6" s="40">
        <v>37.4</v>
      </c>
      <c r="F6" s="40">
        <v>85.7</v>
      </c>
      <c r="G6" s="40">
        <v>12.2</v>
      </c>
      <c r="H6" s="40">
        <v>157.4</v>
      </c>
      <c r="I6" s="40">
        <v>29.9</v>
      </c>
      <c r="J6" s="44">
        <v>0.69399999999999995</v>
      </c>
    </row>
    <row r="7" spans="2:10" ht="19.5" customHeight="1" x14ac:dyDescent="0.3">
      <c r="B7" s="43">
        <v>2</v>
      </c>
      <c r="C7" s="41">
        <v>288.8</v>
      </c>
      <c r="D7" s="41">
        <v>28</v>
      </c>
      <c r="E7" s="41">
        <v>39.299999999999997</v>
      </c>
      <c r="F7" s="41">
        <v>85.7</v>
      </c>
      <c r="G7" s="41">
        <v>11.1</v>
      </c>
      <c r="H7" s="41">
        <v>145.9</v>
      </c>
      <c r="I7" s="41">
        <v>29.7</v>
      </c>
      <c r="J7" s="45">
        <v>0.70899999999999996</v>
      </c>
    </row>
    <row r="8" spans="2:10" ht="19.5" customHeight="1" x14ac:dyDescent="0.3">
      <c r="B8" s="42">
        <v>3</v>
      </c>
      <c r="C8" s="40">
        <v>275.7</v>
      </c>
      <c r="D8" s="40">
        <v>25.2</v>
      </c>
      <c r="E8" s="40">
        <v>32.200000000000003</v>
      </c>
      <c r="F8" s="40">
        <v>87.9</v>
      </c>
      <c r="G8" s="40">
        <v>11.7</v>
      </c>
      <c r="H8" s="40">
        <v>154.4</v>
      </c>
      <c r="I8" s="40">
        <v>30.5</v>
      </c>
      <c r="J8" s="44">
        <v>0.76300000000000001</v>
      </c>
    </row>
    <row r="9" spans="2:10" ht="19.5" customHeight="1" x14ac:dyDescent="0.3">
      <c r="B9" s="43">
        <v>4</v>
      </c>
      <c r="C9" s="41">
        <v>279.60000000000002</v>
      </c>
      <c r="D9" s="41">
        <v>26.6</v>
      </c>
      <c r="E9" s="41">
        <v>36.9</v>
      </c>
      <c r="F9" s="41">
        <v>82.1</v>
      </c>
      <c r="G9" s="41">
        <v>11.5</v>
      </c>
      <c r="H9" s="41">
        <v>145.5</v>
      </c>
      <c r="I9" s="41">
        <v>31.2</v>
      </c>
      <c r="J9" s="45">
        <v>0.72</v>
      </c>
    </row>
    <row r="10" spans="2:10" ht="19.5" customHeight="1" x14ac:dyDescent="0.3">
      <c r="B10" s="42">
        <v>5</v>
      </c>
      <c r="C10" s="40">
        <v>281.39999999999998</v>
      </c>
      <c r="D10" s="40">
        <v>26.6</v>
      </c>
      <c r="E10" s="40">
        <v>38.4</v>
      </c>
      <c r="F10" s="40">
        <v>85.1</v>
      </c>
      <c r="G10" s="40">
        <v>11.6</v>
      </c>
      <c r="H10" s="40">
        <v>161.5</v>
      </c>
      <c r="I10" s="40">
        <v>29.8</v>
      </c>
      <c r="J10" s="44">
        <v>0.70499999999999996</v>
      </c>
    </row>
    <row r="11" spans="2:10" ht="19.5" customHeight="1" x14ac:dyDescent="0.3">
      <c r="B11" s="43">
        <v>6</v>
      </c>
      <c r="C11" s="41">
        <v>286.39999999999998</v>
      </c>
      <c r="D11" s="41">
        <v>26.2</v>
      </c>
      <c r="E11" s="41">
        <v>36</v>
      </c>
      <c r="F11" s="41">
        <v>80.599999999999994</v>
      </c>
      <c r="G11" s="41">
        <v>10.7</v>
      </c>
      <c r="H11" s="41">
        <v>159</v>
      </c>
      <c r="I11" s="41">
        <v>29.6</v>
      </c>
      <c r="J11" s="45">
        <v>0.69299999999999995</v>
      </c>
    </row>
    <row r="12" spans="2:10" ht="19.5" customHeight="1" x14ac:dyDescent="0.3">
      <c r="B12" s="42">
        <v>7</v>
      </c>
      <c r="C12" s="40">
        <v>292.2</v>
      </c>
      <c r="D12" s="40">
        <v>24.4</v>
      </c>
      <c r="E12" s="40">
        <v>42.1</v>
      </c>
      <c r="F12" s="40">
        <v>83.5</v>
      </c>
      <c r="G12" s="40">
        <v>11.5</v>
      </c>
      <c r="H12" s="40">
        <v>143</v>
      </c>
      <c r="I12" s="40">
        <v>30.8</v>
      </c>
      <c r="J12" s="44">
        <v>0.65200000000000002</v>
      </c>
    </row>
    <row r="13" spans="2:10" ht="19.5" customHeight="1" x14ac:dyDescent="0.3">
      <c r="B13" s="43">
        <v>8</v>
      </c>
      <c r="C13" s="41">
        <v>280.5</v>
      </c>
      <c r="D13" s="41">
        <v>26.2</v>
      </c>
      <c r="E13" s="41">
        <v>35.1</v>
      </c>
      <c r="F13" s="41">
        <v>81.400000000000006</v>
      </c>
      <c r="G13" s="41">
        <v>12</v>
      </c>
      <c r="H13" s="41">
        <v>152.80000000000001</v>
      </c>
      <c r="I13" s="41">
        <v>29.8</v>
      </c>
      <c r="J13" s="45">
        <v>0.69699999999999995</v>
      </c>
    </row>
    <row r="14" spans="2:10" ht="19.5" customHeight="1" x14ac:dyDescent="0.3">
      <c r="B14" s="42">
        <v>9</v>
      </c>
      <c r="C14" s="40">
        <v>275.10000000000002</v>
      </c>
      <c r="D14" s="40">
        <v>23.2</v>
      </c>
      <c r="E14" s="40">
        <v>36.9</v>
      </c>
      <c r="F14" s="40">
        <v>82.4</v>
      </c>
      <c r="G14" s="40">
        <v>13</v>
      </c>
      <c r="H14" s="40">
        <v>150.19999999999999</v>
      </c>
      <c r="I14" s="40">
        <v>28.3</v>
      </c>
      <c r="J14" s="44">
        <v>0.68100000000000005</v>
      </c>
    </row>
    <row r="15" spans="2:10" ht="19.5" customHeight="1" x14ac:dyDescent="0.3">
      <c r="B15" s="43">
        <v>10</v>
      </c>
      <c r="C15" s="41">
        <v>277</v>
      </c>
      <c r="D15" s="41">
        <v>23.7</v>
      </c>
      <c r="E15" s="41">
        <v>37.9</v>
      </c>
      <c r="F15" s="41">
        <v>84.7</v>
      </c>
      <c r="G15" s="41">
        <v>12.5</v>
      </c>
      <c r="H15" s="41">
        <v>155.9</v>
      </c>
      <c r="I15" s="41">
        <v>28.5</v>
      </c>
      <c r="J15" s="45">
        <v>0.75600000000000001</v>
      </c>
    </row>
    <row r="16" spans="2:10" ht="19.5" customHeight="1" x14ac:dyDescent="0.3">
      <c r="B16" s="42">
        <v>11</v>
      </c>
      <c r="C16" s="40">
        <v>284.10000000000002</v>
      </c>
      <c r="D16" s="40">
        <v>22.8</v>
      </c>
      <c r="E16" s="40">
        <v>40.4</v>
      </c>
      <c r="F16" s="40">
        <v>78.3</v>
      </c>
      <c r="G16" s="40">
        <v>13.7</v>
      </c>
      <c r="H16" s="40">
        <v>137.30000000000001</v>
      </c>
      <c r="I16" s="40">
        <v>27.1</v>
      </c>
      <c r="J16" s="44">
        <v>0.65900000000000003</v>
      </c>
    </row>
    <row r="17" spans="2:10" ht="19.5" customHeight="1" x14ac:dyDescent="0.3">
      <c r="B17" s="43">
        <v>12</v>
      </c>
      <c r="C17" s="41">
        <v>269.5</v>
      </c>
      <c r="D17" s="41">
        <v>23.2</v>
      </c>
      <c r="E17" s="41">
        <v>33.700000000000003</v>
      </c>
      <c r="F17" s="41">
        <v>91.4</v>
      </c>
      <c r="G17" s="41">
        <v>10.7</v>
      </c>
      <c r="H17" s="41">
        <v>150.5</v>
      </c>
      <c r="I17" s="41">
        <v>26.4</v>
      </c>
      <c r="J17" s="45">
        <v>0.66600000000000004</v>
      </c>
    </row>
    <row r="18" spans="2:10" ht="19.5" customHeight="1" x14ac:dyDescent="0.3">
      <c r="B18" s="42">
        <v>13</v>
      </c>
      <c r="C18" s="40">
        <v>280.39999999999998</v>
      </c>
      <c r="D18" s="40">
        <v>26.7</v>
      </c>
      <c r="E18" s="40">
        <v>39.1</v>
      </c>
      <c r="F18" s="40">
        <v>77.5</v>
      </c>
      <c r="G18" s="40">
        <v>12.4</v>
      </c>
      <c r="H18" s="40">
        <v>153.5</v>
      </c>
      <c r="I18" s="40">
        <v>26.2</v>
      </c>
      <c r="J18" s="44">
        <v>0.65300000000000002</v>
      </c>
    </row>
    <row r="19" spans="2:10" ht="19.5" customHeight="1" x14ac:dyDescent="0.3">
      <c r="B19" s="43">
        <v>14</v>
      </c>
      <c r="C19" s="41">
        <v>249.1</v>
      </c>
      <c r="D19" s="41">
        <v>18.5</v>
      </c>
      <c r="E19" s="41">
        <v>36.200000000000003</v>
      </c>
      <c r="F19" s="41">
        <v>76.5</v>
      </c>
      <c r="G19" s="41">
        <v>11.7</v>
      </c>
      <c r="H19" s="41">
        <v>130.9</v>
      </c>
      <c r="I19" s="41">
        <v>23.6</v>
      </c>
      <c r="J19" s="45">
        <v>0.58799999999999997</v>
      </c>
    </row>
    <row r="20" spans="2:10" ht="19.5" customHeight="1" x14ac:dyDescent="0.3">
      <c r="B20" s="42">
        <v>15</v>
      </c>
      <c r="C20" s="40">
        <v>252.9</v>
      </c>
      <c r="D20" s="40">
        <v>22.6</v>
      </c>
      <c r="E20" s="40">
        <v>33.6</v>
      </c>
      <c r="F20" s="40">
        <v>87.2</v>
      </c>
      <c r="G20" s="40">
        <v>13.7</v>
      </c>
      <c r="H20" s="40">
        <v>135.5</v>
      </c>
      <c r="I20" s="40">
        <v>22.9</v>
      </c>
      <c r="J20" s="44">
        <v>0.64900000000000002</v>
      </c>
    </row>
    <row r="21" spans="2:10" ht="19.5" customHeight="1" x14ac:dyDescent="0.3">
      <c r="B21" s="43">
        <v>16</v>
      </c>
      <c r="C21" s="41">
        <v>250.6</v>
      </c>
      <c r="D21" s="41">
        <v>17.899999999999999</v>
      </c>
      <c r="E21" s="41">
        <v>36.5</v>
      </c>
      <c r="F21" s="41">
        <v>85.6</v>
      </c>
      <c r="G21" s="41">
        <v>10.7</v>
      </c>
      <c r="H21" s="41">
        <v>128.69999999999999</v>
      </c>
      <c r="I21" s="41">
        <v>23</v>
      </c>
      <c r="J21" s="45">
        <v>0.63900000000000001</v>
      </c>
    </row>
    <row r="22" spans="2:10" ht="19.5" customHeight="1" x14ac:dyDescent="0.3">
      <c r="B22" s="42">
        <v>17</v>
      </c>
      <c r="C22" s="40">
        <v>248.2</v>
      </c>
      <c r="D22" s="40">
        <v>19.600000000000001</v>
      </c>
      <c r="E22" s="40">
        <v>35.5</v>
      </c>
      <c r="F22" s="40">
        <v>84.8</v>
      </c>
      <c r="G22" s="40">
        <v>10.7</v>
      </c>
      <c r="H22" s="40">
        <v>142.80000000000001</v>
      </c>
      <c r="I22" s="40">
        <v>21.7</v>
      </c>
      <c r="J22" s="44">
        <v>0.624</v>
      </c>
    </row>
    <row r="23" spans="2:10" ht="19.5" customHeight="1" x14ac:dyDescent="0.3">
      <c r="B23" s="43">
        <v>18</v>
      </c>
      <c r="C23" s="41">
        <v>250.1</v>
      </c>
      <c r="D23" s="41">
        <v>22.1</v>
      </c>
      <c r="E23" s="41">
        <v>33.5</v>
      </c>
      <c r="F23" s="41">
        <v>84.8</v>
      </c>
      <c r="G23" s="41">
        <v>10.9</v>
      </c>
      <c r="H23" s="41">
        <v>150.69999999999999</v>
      </c>
      <c r="I23" s="41">
        <v>21.8</v>
      </c>
      <c r="J23" s="45">
        <v>0.57399999999999995</v>
      </c>
    </row>
    <row r="24" spans="2:10" ht="19.5" customHeight="1" x14ac:dyDescent="0.3">
      <c r="B24" s="42">
        <v>19</v>
      </c>
      <c r="C24" s="40">
        <v>245.8</v>
      </c>
      <c r="D24" s="40">
        <v>20.100000000000001</v>
      </c>
      <c r="E24" s="40">
        <v>34.700000000000003</v>
      </c>
      <c r="F24" s="40">
        <v>81.900000000000006</v>
      </c>
      <c r="G24" s="40">
        <v>9.4</v>
      </c>
      <c r="H24" s="40">
        <v>157</v>
      </c>
      <c r="I24" s="40">
        <v>20</v>
      </c>
      <c r="J24" s="44">
        <v>0.622</v>
      </c>
    </row>
    <row r="25" spans="2:10" ht="19.5" customHeight="1" x14ac:dyDescent="0.3">
      <c r="B25" s="43">
        <v>20</v>
      </c>
      <c r="C25" s="41">
        <v>235.5</v>
      </c>
      <c r="D25" s="41">
        <v>18.100000000000001</v>
      </c>
      <c r="E25" s="41">
        <v>33.4</v>
      </c>
      <c r="F25" s="41">
        <v>78</v>
      </c>
      <c r="G25" s="41">
        <v>11</v>
      </c>
      <c r="H25" s="41">
        <v>145.6</v>
      </c>
      <c r="I25" s="41">
        <v>18.7</v>
      </c>
      <c r="J25" s="45">
        <v>0.52200000000000002</v>
      </c>
    </row>
    <row r="26" spans="2:10" ht="19.5" customHeight="1" x14ac:dyDescent="0.3">
      <c r="B26" s="42">
        <v>21</v>
      </c>
      <c r="C26" s="40">
        <v>250.2</v>
      </c>
      <c r="D26" s="40">
        <v>18.899999999999999</v>
      </c>
      <c r="E26" s="40">
        <v>34.299999999999997</v>
      </c>
      <c r="F26" s="40">
        <v>82.3</v>
      </c>
      <c r="G26" s="40">
        <v>10.7</v>
      </c>
      <c r="H26" s="40">
        <v>158</v>
      </c>
      <c r="I26" s="40">
        <v>20.2</v>
      </c>
      <c r="J26" s="44">
        <v>0.6</v>
      </c>
    </row>
    <row r="27" spans="2:10" ht="19.5" customHeight="1" x14ac:dyDescent="0.3">
      <c r="B27" s="43">
        <v>22</v>
      </c>
      <c r="C27" s="41">
        <v>252</v>
      </c>
      <c r="D27" s="41">
        <v>21.7</v>
      </c>
      <c r="E27" s="41">
        <v>35.299999999999997</v>
      </c>
      <c r="F27" s="41">
        <v>79</v>
      </c>
      <c r="G27" s="41">
        <v>11.7</v>
      </c>
      <c r="H27" s="41">
        <v>134</v>
      </c>
      <c r="I27" s="41">
        <v>18.100000000000001</v>
      </c>
      <c r="J27" s="45">
        <v>0.623</v>
      </c>
    </row>
    <row r="28" spans="2:10" ht="19.5" customHeight="1" x14ac:dyDescent="0.3">
      <c r="B28" s="42">
        <v>23</v>
      </c>
      <c r="C28" s="40">
        <v>245</v>
      </c>
      <c r="D28" s="40">
        <v>19.5</v>
      </c>
      <c r="E28" s="40">
        <v>37.200000000000003</v>
      </c>
      <c r="F28" s="40">
        <v>86.4</v>
      </c>
      <c r="G28" s="40">
        <v>11.8</v>
      </c>
      <c r="H28" s="40">
        <v>131.4</v>
      </c>
      <c r="I28" s="40">
        <v>17.600000000000001</v>
      </c>
      <c r="J28" s="44">
        <v>0.52100000000000002</v>
      </c>
    </row>
    <row r="29" spans="2:10" ht="19.5" customHeight="1" x14ac:dyDescent="0.3">
      <c r="B29" s="43">
        <v>24</v>
      </c>
      <c r="C29" s="41">
        <v>244.3</v>
      </c>
      <c r="D29" s="41">
        <v>21.7</v>
      </c>
      <c r="E29" s="41">
        <v>30.9</v>
      </c>
      <c r="F29" s="41">
        <v>81.3</v>
      </c>
      <c r="G29" s="41">
        <v>13.4</v>
      </c>
      <c r="H29" s="41">
        <v>144.6</v>
      </c>
      <c r="I29" s="41">
        <v>15.7</v>
      </c>
      <c r="J29" s="45">
        <v>0.51100000000000001</v>
      </c>
    </row>
    <row r="30" spans="2:10" ht="19.5" customHeight="1" x14ac:dyDescent="0.3">
      <c r="B30" s="42">
        <v>25</v>
      </c>
      <c r="C30" s="40">
        <v>249.7</v>
      </c>
      <c r="D30" s="40">
        <v>22</v>
      </c>
      <c r="E30" s="40">
        <v>38.200000000000003</v>
      </c>
      <c r="F30" s="40">
        <v>78.3</v>
      </c>
      <c r="G30" s="40">
        <v>12.5</v>
      </c>
      <c r="H30" s="40">
        <v>148.1</v>
      </c>
      <c r="I30" s="40">
        <v>15.9</v>
      </c>
      <c r="J30" s="44">
        <v>0.53400000000000003</v>
      </c>
    </row>
    <row r="31" spans="2:10" ht="19.5" customHeight="1" x14ac:dyDescent="0.3">
      <c r="B31" s="43">
        <v>26</v>
      </c>
      <c r="C31" s="41">
        <v>234.2</v>
      </c>
      <c r="D31" s="41">
        <v>21.3</v>
      </c>
      <c r="E31" s="41">
        <v>29.2</v>
      </c>
      <c r="F31" s="41">
        <v>80.599999999999994</v>
      </c>
      <c r="G31" s="41">
        <v>10.9</v>
      </c>
      <c r="H31" s="41">
        <v>144.69999999999999</v>
      </c>
      <c r="I31" s="41">
        <v>15.9</v>
      </c>
      <c r="J31" s="45">
        <v>0.51600000000000001</v>
      </c>
    </row>
    <row r="32" spans="2:10" ht="19.5" customHeight="1" x14ac:dyDescent="0.3">
      <c r="B32" s="42">
        <v>27</v>
      </c>
      <c r="C32" s="40">
        <v>258.5</v>
      </c>
      <c r="D32" s="40">
        <v>27</v>
      </c>
      <c r="E32" s="40">
        <v>33.200000000000003</v>
      </c>
      <c r="F32" s="40">
        <v>83.9</v>
      </c>
      <c r="G32" s="40">
        <v>10.6</v>
      </c>
      <c r="H32" s="40">
        <v>128.5</v>
      </c>
      <c r="I32" s="40">
        <v>14.6</v>
      </c>
      <c r="J32" s="44">
        <v>0.48</v>
      </c>
    </row>
    <row r="33" spans="2:10" ht="19.5" customHeight="1" x14ac:dyDescent="0.3">
      <c r="B33" s="43">
        <v>28</v>
      </c>
      <c r="C33" s="41">
        <v>253.5</v>
      </c>
      <c r="D33" s="41">
        <v>24.8</v>
      </c>
      <c r="E33" s="41">
        <v>34.9</v>
      </c>
      <c r="F33" s="41">
        <v>79.5</v>
      </c>
      <c r="G33" s="41">
        <v>12</v>
      </c>
      <c r="H33" s="41">
        <v>144.30000000000001</v>
      </c>
      <c r="I33" s="41">
        <v>15.5</v>
      </c>
      <c r="J33" s="45">
        <v>0.52800000000000002</v>
      </c>
    </row>
    <row r="34" spans="2:10" ht="19.5" customHeight="1" x14ac:dyDescent="0.3">
      <c r="B34" s="42">
        <v>29</v>
      </c>
      <c r="C34" s="40">
        <v>235.4</v>
      </c>
      <c r="D34" s="40">
        <v>20.5</v>
      </c>
      <c r="E34" s="40">
        <v>34.299999999999997</v>
      </c>
      <c r="F34" s="40">
        <v>78.3</v>
      </c>
      <c r="G34" s="40">
        <v>10.199999999999999</v>
      </c>
      <c r="H34" s="40">
        <v>134.6</v>
      </c>
      <c r="I34" s="40">
        <v>14.6</v>
      </c>
      <c r="J34" s="44">
        <v>0.48299999999999998</v>
      </c>
    </row>
    <row r="35" spans="2:10" ht="19.5" customHeight="1" x14ac:dyDescent="0.3">
      <c r="B35" s="43">
        <v>30</v>
      </c>
      <c r="C35" s="41">
        <v>247.3</v>
      </c>
      <c r="D35" s="41">
        <v>24.9</v>
      </c>
      <c r="E35" s="41">
        <v>32.5</v>
      </c>
      <c r="F35" s="41">
        <v>83.1</v>
      </c>
      <c r="G35" s="41">
        <v>13.3</v>
      </c>
      <c r="H35" s="41">
        <v>150.4</v>
      </c>
      <c r="I35" s="41">
        <v>14.8</v>
      </c>
      <c r="J35" s="45">
        <v>0.53200000000000003</v>
      </c>
    </row>
    <row r="36" spans="2:10" ht="19.5" customHeight="1" x14ac:dyDescent="0.3">
      <c r="B36" s="42">
        <v>31</v>
      </c>
      <c r="C36" s="40">
        <v>242.8</v>
      </c>
      <c r="D36" s="40">
        <v>23.6</v>
      </c>
      <c r="E36" s="40">
        <v>33.6</v>
      </c>
      <c r="F36" s="40">
        <v>83.1</v>
      </c>
      <c r="G36" s="40">
        <v>12.7</v>
      </c>
      <c r="H36" s="40">
        <v>147.9</v>
      </c>
      <c r="I36" s="40">
        <v>14.6</v>
      </c>
      <c r="J36" s="44">
        <v>0.48799999999999999</v>
      </c>
    </row>
    <row r="37" spans="2:10" ht="19.5" customHeight="1" x14ac:dyDescent="0.3">
      <c r="B37" s="43">
        <v>32</v>
      </c>
      <c r="C37" s="41">
        <v>251.7</v>
      </c>
      <c r="D37" s="41">
        <v>26.5</v>
      </c>
      <c r="E37" s="41">
        <v>33.200000000000003</v>
      </c>
      <c r="F37" s="41">
        <v>79.7</v>
      </c>
      <c r="G37" s="41">
        <v>11</v>
      </c>
      <c r="H37" s="41">
        <v>137.5</v>
      </c>
      <c r="I37" s="41">
        <v>16.7</v>
      </c>
      <c r="J37" s="45">
        <v>0.58699999999999997</v>
      </c>
    </row>
    <row r="38" spans="2:10" ht="19.5" customHeight="1" x14ac:dyDescent="0.3">
      <c r="B38" s="42">
        <v>33</v>
      </c>
      <c r="C38" s="40">
        <v>249.7</v>
      </c>
      <c r="D38" s="40">
        <v>23.6</v>
      </c>
      <c r="E38" s="40">
        <v>33.200000000000003</v>
      </c>
      <c r="F38" s="40">
        <v>79.900000000000006</v>
      </c>
      <c r="G38" s="40">
        <v>9.8000000000000007</v>
      </c>
      <c r="H38" s="40">
        <v>140.9</v>
      </c>
      <c r="I38" s="40">
        <v>15.5</v>
      </c>
      <c r="J38" s="44">
        <v>0.503</v>
      </c>
    </row>
    <row r="39" spans="2:10" ht="19.5" customHeight="1" x14ac:dyDescent="0.3">
      <c r="B39" s="43">
        <v>34</v>
      </c>
      <c r="C39" s="41">
        <v>258.7</v>
      </c>
      <c r="D39" s="41">
        <v>24.6</v>
      </c>
      <c r="E39" s="41">
        <v>36.700000000000003</v>
      </c>
      <c r="F39" s="41">
        <v>83</v>
      </c>
      <c r="G39" s="41">
        <v>12.9</v>
      </c>
      <c r="H39" s="41">
        <v>136.5</v>
      </c>
      <c r="I39" s="41">
        <v>15</v>
      </c>
      <c r="J39" s="45">
        <v>0.51</v>
      </c>
    </row>
    <row r="40" spans="2:10" ht="19.5" customHeight="1" x14ac:dyDescent="0.3">
      <c r="B40" s="42">
        <v>35</v>
      </c>
      <c r="C40" s="40">
        <v>253</v>
      </c>
      <c r="D40" s="40">
        <v>25.5</v>
      </c>
      <c r="E40" s="40">
        <v>35.9</v>
      </c>
      <c r="F40" s="40">
        <v>75.5</v>
      </c>
      <c r="G40" s="40">
        <v>11.4</v>
      </c>
      <c r="H40" s="40">
        <v>144.5</v>
      </c>
      <c r="I40" s="40">
        <v>17</v>
      </c>
      <c r="J40" s="44">
        <v>0.56799999999999995</v>
      </c>
    </row>
    <row r="41" spans="2:10" ht="19.5" customHeight="1" x14ac:dyDescent="0.3">
      <c r="B41" s="43">
        <v>36</v>
      </c>
      <c r="C41" s="41">
        <v>255.4</v>
      </c>
      <c r="D41" s="41">
        <v>25.7</v>
      </c>
      <c r="E41" s="41">
        <v>33.9</v>
      </c>
      <c r="F41" s="41">
        <v>75.7</v>
      </c>
      <c r="G41" s="41">
        <v>12.7</v>
      </c>
      <c r="H41" s="41">
        <v>152.6</v>
      </c>
      <c r="I41" s="41">
        <v>15.9</v>
      </c>
      <c r="J41" s="45">
        <v>0.49399999999999999</v>
      </c>
    </row>
    <row r="42" spans="2:10" ht="19.5" customHeight="1" x14ac:dyDescent="0.3">
      <c r="B42" s="42">
        <v>37</v>
      </c>
      <c r="C42" s="40">
        <v>248.9</v>
      </c>
      <c r="D42" s="40">
        <v>21.5</v>
      </c>
      <c r="E42" s="40">
        <v>37.799999999999997</v>
      </c>
      <c r="F42" s="40">
        <v>78.8</v>
      </c>
      <c r="G42" s="40">
        <v>9.9</v>
      </c>
      <c r="H42" s="40">
        <v>137.1</v>
      </c>
      <c r="I42" s="40">
        <v>17.7</v>
      </c>
      <c r="J42" s="44">
        <v>0.55900000000000005</v>
      </c>
    </row>
    <row r="43" spans="2:10" ht="19.5" customHeight="1" x14ac:dyDescent="0.3">
      <c r="B43" s="43">
        <v>38</v>
      </c>
      <c r="C43" s="41">
        <v>248.9</v>
      </c>
      <c r="D43" s="41">
        <v>22.5</v>
      </c>
      <c r="E43" s="41">
        <v>36.799999999999997</v>
      </c>
      <c r="F43" s="41">
        <v>81</v>
      </c>
      <c r="G43" s="41">
        <v>10.9</v>
      </c>
      <c r="H43" s="41">
        <v>149</v>
      </c>
      <c r="I43" s="41">
        <v>16.7</v>
      </c>
      <c r="J43" s="45">
        <v>0.57999999999999996</v>
      </c>
    </row>
    <row r="44" spans="2:10" ht="19.5" customHeight="1" x14ac:dyDescent="0.3">
      <c r="B44" s="42">
        <v>39</v>
      </c>
      <c r="C44" s="40">
        <v>250.5</v>
      </c>
      <c r="D44" s="40">
        <v>21.6</v>
      </c>
      <c r="E44" s="40">
        <v>38.299999999999997</v>
      </c>
      <c r="F44" s="40">
        <v>83.4</v>
      </c>
      <c r="G44" s="40">
        <v>11.5</v>
      </c>
      <c r="H44" s="40">
        <v>140.80000000000001</v>
      </c>
      <c r="I44" s="40">
        <v>18</v>
      </c>
      <c r="J44" s="44">
        <v>0.50800000000000001</v>
      </c>
    </row>
    <row r="45" spans="2:10" ht="19.5" customHeight="1" x14ac:dyDescent="0.3">
      <c r="B45" s="43">
        <v>40</v>
      </c>
      <c r="C45" s="41">
        <v>250.8</v>
      </c>
      <c r="D45" s="41">
        <v>20.7</v>
      </c>
      <c r="E45" s="41">
        <v>38.200000000000003</v>
      </c>
      <c r="F45" s="41">
        <v>88.6</v>
      </c>
      <c r="G45" s="41">
        <v>11.5</v>
      </c>
      <c r="H45" s="41">
        <v>138.69999999999999</v>
      </c>
      <c r="I45" s="41">
        <v>20</v>
      </c>
      <c r="J45" s="45">
        <v>0.58599999999999997</v>
      </c>
    </row>
    <row r="46" spans="2:10" ht="19.5" customHeight="1" x14ac:dyDescent="0.3">
      <c r="B46" s="42">
        <v>41</v>
      </c>
      <c r="C46" s="40">
        <v>262.2</v>
      </c>
      <c r="D46" s="40">
        <v>24.5</v>
      </c>
      <c r="E46" s="40">
        <v>35.4</v>
      </c>
      <c r="F46" s="40">
        <v>85.9</v>
      </c>
      <c r="G46" s="40">
        <v>11</v>
      </c>
      <c r="H46" s="40">
        <v>144.1</v>
      </c>
      <c r="I46" s="40">
        <v>21.3</v>
      </c>
      <c r="J46" s="44">
        <v>0.60299999999999998</v>
      </c>
    </row>
    <row r="47" spans="2:10" ht="19.5" customHeight="1" x14ac:dyDescent="0.3">
      <c r="B47" s="43">
        <v>42</v>
      </c>
      <c r="C47" s="41">
        <v>254</v>
      </c>
      <c r="D47" s="41">
        <v>21.6</v>
      </c>
      <c r="E47" s="41">
        <v>36.299999999999997</v>
      </c>
      <c r="F47" s="41">
        <v>81.3</v>
      </c>
      <c r="G47" s="41">
        <v>12.1</v>
      </c>
      <c r="H47" s="41">
        <v>136.69999999999999</v>
      </c>
      <c r="I47" s="41">
        <v>21.7</v>
      </c>
      <c r="J47" s="45">
        <v>0.624</v>
      </c>
    </row>
    <row r="48" spans="2:10" ht="19.5" customHeight="1" x14ac:dyDescent="0.3">
      <c r="B48" s="42">
        <v>43</v>
      </c>
      <c r="C48" s="40">
        <v>254.1</v>
      </c>
      <c r="D48" s="40">
        <v>18.2</v>
      </c>
      <c r="E48" s="40">
        <v>39.5</v>
      </c>
      <c r="F48" s="40">
        <v>81.900000000000006</v>
      </c>
      <c r="G48" s="40">
        <v>10.4</v>
      </c>
      <c r="H48" s="40">
        <v>140.6</v>
      </c>
      <c r="I48" s="40">
        <v>22.4</v>
      </c>
      <c r="J48" s="44">
        <v>0.57199999999999995</v>
      </c>
    </row>
    <row r="49" spans="2:10" ht="19.5" customHeight="1" x14ac:dyDescent="0.3">
      <c r="B49" s="43">
        <v>44</v>
      </c>
      <c r="C49" s="41">
        <v>263.5</v>
      </c>
      <c r="D49" s="41">
        <v>21.8</v>
      </c>
      <c r="E49" s="41">
        <v>39.5</v>
      </c>
      <c r="F49" s="41">
        <v>77.5</v>
      </c>
      <c r="G49" s="41">
        <v>11.4</v>
      </c>
      <c r="H49" s="41">
        <v>135.4</v>
      </c>
      <c r="I49" s="41">
        <v>23.2</v>
      </c>
      <c r="J49" s="45">
        <v>0.57899999999999996</v>
      </c>
    </row>
    <row r="50" spans="2:10" ht="19.5" customHeight="1" x14ac:dyDescent="0.3">
      <c r="B50" s="42">
        <v>45</v>
      </c>
      <c r="C50" s="40">
        <v>266.39999999999998</v>
      </c>
      <c r="D50" s="40">
        <v>23.8</v>
      </c>
      <c r="E50" s="40">
        <v>38.4</v>
      </c>
      <c r="F50" s="40">
        <v>81.900000000000006</v>
      </c>
      <c r="G50" s="40">
        <v>11.6</v>
      </c>
      <c r="H50" s="40">
        <v>160.69999999999999</v>
      </c>
      <c r="I50" s="40">
        <v>23.1</v>
      </c>
      <c r="J50" s="44">
        <v>0.63300000000000001</v>
      </c>
    </row>
    <row r="51" spans="2:10" ht="19.5" customHeight="1" x14ac:dyDescent="0.3">
      <c r="B51" s="43">
        <v>46</v>
      </c>
      <c r="C51" s="41">
        <v>262.89999999999998</v>
      </c>
      <c r="D51" s="41">
        <v>21.9</v>
      </c>
      <c r="E51" s="41">
        <v>39</v>
      </c>
      <c r="F51" s="41">
        <v>80.7</v>
      </c>
      <c r="G51" s="41">
        <v>12</v>
      </c>
      <c r="H51" s="41">
        <v>145.30000000000001</v>
      </c>
      <c r="I51" s="41">
        <v>24.6</v>
      </c>
      <c r="J51" s="45">
        <v>0.64400000000000002</v>
      </c>
    </row>
    <row r="52" spans="2:10" ht="19.5" customHeight="1" x14ac:dyDescent="0.3">
      <c r="B52" s="42">
        <v>47</v>
      </c>
      <c r="C52" s="40">
        <v>257.89999999999998</v>
      </c>
      <c r="D52" s="40">
        <v>17.399999999999999</v>
      </c>
      <c r="E52" s="40">
        <v>41.8</v>
      </c>
      <c r="F52" s="40">
        <v>83.5</v>
      </c>
      <c r="G52" s="40">
        <v>12.2</v>
      </c>
      <c r="H52" s="40">
        <v>139.4</v>
      </c>
      <c r="I52" s="40">
        <v>25.6</v>
      </c>
      <c r="J52" s="44">
        <v>0.65500000000000003</v>
      </c>
    </row>
    <row r="53" spans="2:10" ht="19.5" customHeight="1" x14ac:dyDescent="0.3">
      <c r="B53" s="43">
        <v>48</v>
      </c>
      <c r="C53" s="41">
        <v>266.60000000000002</v>
      </c>
      <c r="D53" s="41">
        <v>19.600000000000001</v>
      </c>
      <c r="E53" s="41">
        <v>37.9</v>
      </c>
      <c r="F53" s="41">
        <v>78.3</v>
      </c>
      <c r="G53" s="41">
        <v>10.4</v>
      </c>
      <c r="H53" s="41">
        <v>146.69999999999999</v>
      </c>
      <c r="I53" s="41">
        <v>27.6</v>
      </c>
      <c r="J53" s="45">
        <v>0.68200000000000005</v>
      </c>
    </row>
    <row r="54" spans="2:10" ht="19.5" customHeight="1" x14ac:dyDescent="0.3">
      <c r="B54" s="42">
        <v>49</v>
      </c>
      <c r="C54" s="40">
        <v>277.8</v>
      </c>
      <c r="D54" s="40">
        <v>23.1</v>
      </c>
      <c r="E54" s="40">
        <v>40.5</v>
      </c>
      <c r="F54" s="40">
        <v>84.3</v>
      </c>
      <c r="G54" s="40">
        <v>10</v>
      </c>
      <c r="H54" s="40">
        <v>144.1</v>
      </c>
      <c r="I54" s="40">
        <v>27.7</v>
      </c>
      <c r="J54" s="44">
        <v>0.65200000000000002</v>
      </c>
    </row>
    <row r="55" spans="2:10" ht="19.5" customHeight="1" x14ac:dyDescent="0.3">
      <c r="B55" s="43">
        <v>50</v>
      </c>
      <c r="C55" s="41">
        <v>262</v>
      </c>
      <c r="D55" s="41">
        <v>20.100000000000001</v>
      </c>
      <c r="E55" s="41">
        <v>39</v>
      </c>
      <c r="F55" s="41">
        <v>88.9</v>
      </c>
      <c r="G55" s="41">
        <v>12.8</v>
      </c>
      <c r="H55" s="41">
        <v>143.19999999999999</v>
      </c>
      <c r="I55" s="41">
        <v>26.7</v>
      </c>
      <c r="J55" s="45">
        <v>0.66700000000000004</v>
      </c>
    </row>
    <row r="56" spans="2:10" ht="19.5" customHeight="1" x14ac:dyDescent="0.3">
      <c r="B56" s="42">
        <v>51</v>
      </c>
      <c r="C56" s="40">
        <v>275.89999999999998</v>
      </c>
      <c r="D56" s="40">
        <v>22.7</v>
      </c>
      <c r="E56" s="40">
        <v>39</v>
      </c>
      <c r="F56" s="40">
        <v>81.5</v>
      </c>
      <c r="G56" s="40">
        <v>11.8</v>
      </c>
      <c r="H56" s="40">
        <v>149.9</v>
      </c>
      <c r="I56" s="40">
        <v>28.9</v>
      </c>
      <c r="J56" s="44">
        <v>0.69599999999999995</v>
      </c>
    </row>
    <row r="57" spans="2:10" ht="19.5" customHeight="1" x14ac:dyDescent="0.3">
      <c r="B57" s="49">
        <v>52</v>
      </c>
      <c r="C57" s="50">
        <v>284.3</v>
      </c>
      <c r="D57" s="50">
        <v>23.9</v>
      </c>
      <c r="E57" s="50">
        <v>41.9</v>
      </c>
      <c r="F57" s="50">
        <v>83.8</v>
      </c>
      <c r="G57" s="50">
        <v>10.8</v>
      </c>
      <c r="H57" s="50">
        <v>151.1</v>
      </c>
      <c r="I57" s="50">
        <v>28.8</v>
      </c>
      <c r="J57" s="51">
        <v>0.66400000000000003</v>
      </c>
    </row>
    <row r="58" spans="2:10" ht="19.5" customHeight="1" thickBot="1" x14ac:dyDescent="0.35"/>
    <row r="59" spans="2:10" ht="15" customHeight="1" thickBot="1" x14ac:dyDescent="0.35">
      <c r="B59" s="55" t="s">
        <v>44</v>
      </c>
      <c r="C59" s="56">
        <f t="shared" ref="C59:H59" si="0">SUM(C6:C57)</f>
        <v>13547.999999999998</v>
      </c>
      <c r="D59" s="56">
        <f t="shared" si="0"/>
        <v>1182.4000000000001</v>
      </c>
      <c r="E59" s="56">
        <f t="shared" si="0"/>
        <v>1894.6000000000006</v>
      </c>
      <c r="F59" s="56">
        <f t="shared" si="0"/>
        <v>4276.0000000000009</v>
      </c>
      <c r="G59" s="56">
        <f t="shared" si="0"/>
        <v>600.59999999999968</v>
      </c>
      <c r="H59" s="56">
        <f t="shared" si="0"/>
        <v>7539.4</v>
      </c>
      <c r="I59" s="60"/>
      <c r="J59" s="57"/>
    </row>
    <row r="60" spans="2:10" ht="15" customHeight="1" thickBot="1" x14ac:dyDescent="0.35">
      <c r="B60" s="9"/>
      <c r="C60" s="9"/>
      <c r="D60" s="9"/>
      <c r="E60" s="9"/>
      <c r="F60" s="9"/>
      <c r="G60" s="9"/>
      <c r="H60" s="9"/>
      <c r="I60" s="9"/>
      <c r="J60" s="9"/>
    </row>
    <row r="61" spans="2:10" ht="15" customHeight="1" thickBot="1" x14ac:dyDescent="0.35">
      <c r="B61" s="64" t="s">
        <v>45</v>
      </c>
      <c r="C61" s="65">
        <f t="shared" ref="C61:J61" si="1">AVERAGE(C6:C57)</f>
        <v>260.53846153846149</v>
      </c>
      <c r="D61" s="65">
        <f t="shared" si="1"/>
        <v>22.738461538461539</v>
      </c>
      <c r="E61" s="65">
        <f t="shared" si="1"/>
        <v>36.434615384615398</v>
      </c>
      <c r="F61" s="65">
        <f t="shared" si="1"/>
        <v>82.230769230769255</v>
      </c>
      <c r="G61" s="65">
        <f t="shared" si="1"/>
        <v>11.549999999999994</v>
      </c>
      <c r="H61" s="65">
        <f t="shared" si="1"/>
        <v>144.98846153846154</v>
      </c>
      <c r="I61" s="65">
        <f t="shared" si="1"/>
        <v>22.328846153846161</v>
      </c>
      <c r="J61" s="66">
        <f t="shared" si="1"/>
        <v>0.60861538461538456</v>
      </c>
    </row>
    <row r="62" spans="2:10" ht="15" customHeight="1" thickBot="1" x14ac:dyDescent="0.35"/>
    <row r="63" spans="2:10" x14ac:dyDescent="0.3">
      <c r="B63" s="61" t="s">
        <v>46</v>
      </c>
      <c r="C63" s="62">
        <f t="shared" ref="C63:J63" si="2">MIN(C6:C57)</f>
        <v>234.2</v>
      </c>
      <c r="D63" s="62">
        <f t="shared" si="2"/>
        <v>17.399999999999999</v>
      </c>
      <c r="E63" s="62">
        <f t="shared" si="2"/>
        <v>29.2</v>
      </c>
      <c r="F63" s="62">
        <f t="shared" si="2"/>
        <v>75.5</v>
      </c>
      <c r="G63" s="62">
        <f t="shared" si="2"/>
        <v>9.4</v>
      </c>
      <c r="H63" s="62">
        <f t="shared" si="2"/>
        <v>128.5</v>
      </c>
      <c r="I63" s="62">
        <f t="shared" si="2"/>
        <v>14.6</v>
      </c>
      <c r="J63" s="63">
        <f t="shared" si="2"/>
        <v>0.48</v>
      </c>
    </row>
    <row r="64" spans="2:10" ht="15" customHeight="1" thickBot="1" x14ac:dyDescent="0.35">
      <c r="B64" s="54" t="s">
        <v>47</v>
      </c>
      <c r="C64" s="58">
        <f t="shared" ref="C64:J64" si="3">MAX(C6:C57)</f>
        <v>292.2</v>
      </c>
      <c r="D64" s="58">
        <f t="shared" si="3"/>
        <v>28</v>
      </c>
      <c r="E64" s="58">
        <f t="shared" si="3"/>
        <v>42.1</v>
      </c>
      <c r="F64" s="58">
        <f t="shared" si="3"/>
        <v>91.4</v>
      </c>
      <c r="G64" s="58">
        <f t="shared" si="3"/>
        <v>13.7</v>
      </c>
      <c r="H64" s="58">
        <f t="shared" si="3"/>
        <v>161.5</v>
      </c>
      <c r="I64" s="58">
        <f t="shared" si="3"/>
        <v>31.2</v>
      </c>
      <c r="J64" s="59">
        <f t="shared" si="3"/>
        <v>0.76300000000000001</v>
      </c>
    </row>
  </sheetData>
  <mergeCells count="2">
    <mergeCell ref="B3:J3"/>
    <mergeCell ref="B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6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8" sqref="K8"/>
    </sheetView>
  </sheetViews>
  <sheetFormatPr defaultColWidth="8.77734375" defaultRowHeight="14.4" x14ac:dyDescent="0.3"/>
  <cols>
    <col min="2" max="13" width="20" customWidth="1"/>
  </cols>
  <sheetData>
    <row r="1" spans="2:13" ht="15" customHeight="1" thickBot="1" x14ac:dyDescent="0.35"/>
    <row r="2" spans="2:13" ht="21" customHeight="1" x14ac:dyDescent="0.4">
      <c r="B2" s="241" t="s">
        <v>48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9"/>
    </row>
    <row r="3" spans="2:13" ht="15" customHeight="1" thickBot="1" x14ac:dyDescent="0.35">
      <c r="B3" s="240" t="s">
        <v>49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6"/>
    </row>
    <row r="5" spans="2:13" ht="27.75" customHeight="1" thickBot="1" x14ac:dyDescent="0.35">
      <c r="B5" s="94" t="s">
        <v>35</v>
      </c>
      <c r="C5" s="95" t="s">
        <v>50</v>
      </c>
      <c r="D5" s="96" t="s">
        <v>37</v>
      </c>
      <c r="E5" s="96" t="s">
        <v>38</v>
      </c>
      <c r="F5" s="96" t="s">
        <v>39</v>
      </c>
      <c r="G5" s="96" t="s">
        <v>40</v>
      </c>
      <c r="H5" s="96" t="s">
        <v>41</v>
      </c>
      <c r="I5" s="96" t="s">
        <v>42</v>
      </c>
      <c r="J5" s="96" t="s">
        <v>43</v>
      </c>
      <c r="K5" s="95" t="s">
        <v>51</v>
      </c>
      <c r="L5" s="95" t="s">
        <v>52</v>
      </c>
      <c r="M5" s="97" t="s">
        <v>53</v>
      </c>
    </row>
    <row r="6" spans="2:13" ht="19.5" customHeight="1" x14ac:dyDescent="0.3">
      <c r="B6" s="98">
        <v>1</v>
      </c>
      <c r="C6" s="69">
        <v>214.8</v>
      </c>
      <c r="D6" s="69">
        <v>20.7</v>
      </c>
      <c r="E6" s="69">
        <v>40.5</v>
      </c>
      <c r="F6" s="69">
        <v>89.7</v>
      </c>
      <c r="G6" s="69">
        <v>10.8</v>
      </c>
      <c r="H6" s="69">
        <v>144</v>
      </c>
      <c r="I6" s="69">
        <v>28.9</v>
      </c>
      <c r="J6" s="70">
        <v>0.747</v>
      </c>
      <c r="K6" s="71">
        <f>'4.2c Modelo Final'!$C$7+'4.2c Modelo Final'!$C$8*D6+'4.2c Modelo Final'!$C$9*E6+'4.2c Modelo Final'!$C$10*I6</f>
        <v>272.38107954097512</v>
      </c>
      <c r="L6" s="72">
        <f t="shared" ref="L6:L37" si="0">K6-C6</f>
        <v>57.581079540975111</v>
      </c>
      <c r="M6" s="99">
        <f t="shared" ref="M6:M37" si="1">L6/K6</f>
        <v>0.21139896955402518</v>
      </c>
    </row>
    <row r="7" spans="2:13" ht="19.5" customHeight="1" x14ac:dyDescent="0.3">
      <c r="B7" s="43">
        <v>2</v>
      </c>
      <c r="C7" s="41">
        <v>219.6</v>
      </c>
      <c r="D7" s="41">
        <v>24.9</v>
      </c>
      <c r="E7" s="41">
        <v>39.299999999999997</v>
      </c>
      <c r="F7" s="41">
        <v>80.900000000000006</v>
      </c>
      <c r="G7" s="41">
        <v>13.4</v>
      </c>
      <c r="H7" s="40">
        <v>142.19999999999999</v>
      </c>
      <c r="I7" s="41">
        <v>30.3</v>
      </c>
      <c r="J7" s="45">
        <v>0.71899999999999997</v>
      </c>
      <c r="K7" s="68">
        <f>'4.2c Modelo Final'!$C$7+'4.2c Modelo Final'!$C$8*D7+'4.2c Modelo Final'!$C$9*E7+'4.2c Modelo Final'!$C$10*I7</f>
        <v>284.07637701517552</v>
      </c>
      <c r="L7" s="67">
        <f t="shared" si="0"/>
        <v>64.47637701517553</v>
      </c>
      <c r="M7" s="100">
        <f t="shared" si="1"/>
        <v>0.2269684571897056</v>
      </c>
    </row>
    <row r="8" spans="2:13" ht="19.5" customHeight="1" x14ac:dyDescent="0.3">
      <c r="B8" s="42">
        <v>3</v>
      </c>
      <c r="C8" s="40">
        <v>224.1</v>
      </c>
      <c r="D8" s="40">
        <v>23.3</v>
      </c>
      <c r="E8" s="40">
        <v>41.4</v>
      </c>
      <c r="F8" s="40">
        <v>78.8</v>
      </c>
      <c r="G8" s="40">
        <v>12.6</v>
      </c>
      <c r="H8" s="40">
        <v>149.5</v>
      </c>
      <c r="I8" s="40">
        <v>30.9</v>
      </c>
      <c r="J8" s="44">
        <v>0.67300000000000004</v>
      </c>
      <c r="K8" s="68">
        <f>'4.2c Modelo Final'!$C$7+'4.2c Modelo Final'!$C$8*D8+'4.2c Modelo Final'!$C$9*E8+'4.2c Modelo Final'!$C$10*I8</f>
        <v>283.90925041686654</v>
      </c>
      <c r="L8" s="67">
        <f t="shared" si="0"/>
        <v>59.809250416866547</v>
      </c>
      <c r="M8" s="100">
        <f t="shared" si="1"/>
        <v>0.21066326767813334</v>
      </c>
    </row>
    <row r="9" spans="2:13" ht="19.5" customHeight="1" x14ac:dyDescent="0.3">
      <c r="B9" s="43">
        <v>4</v>
      </c>
      <c r="C9" s="41">
        <v>223.2</v>
      </c>
      <c r="D9" s="41">
        <v>25.8</v>
      </c>
      <c r="E9" s="41">
        <v>34.799999999999997</v>
      </c>
      <c r="F9" s="41">
        <v>82.5</v>
      </c>
      <c r="G9" s="41">
        <v>12.9</v>
      </c>
      <c r="H9" s="40">
        <v>140.69999999999999</v>
      </c>
      <c r="I9" s="41">
        <v>30.8</v>
      </c>
      <c r="J9" s="45">
        <v>0.73099999999999998</v>
      </c>
      <c r="K9" s="68">
        <f>'4.2c Modelo Final'!$C$7+'4.2c Modelo Final'!$C$8*D9+'4.2c Modelo Final'!$C$9*E9+'4.2c Modelo Final'!$C$10*I9</f>
        <v>280.9436046133323</v>
      </c>
      <c r="L9" s="67">
        <f t="shared" si="0"/>
        <v>57.743604613332309</v>
      </c>
      <c r="M9" s="100">
        <f t="shared" si="1"/>
        <v>0.20553450466617976</v>
      </c>
    </row>
    <row r="10" spans="2:13" ht="19.5" customHeight="1" x14ac:dyDescent="0.3">
      <c r="B10" s="42">
        <v>5</v>
      </c>
      <c r="C10" s="40">
        <v>221.7</v>
      </c>
      <c r="D10" s="40">
        <v>23.8</v>
      </c>
      <c r="E10" s="40">
        <v>39.799999999999997</v>
      </c>
      <c r="F10" s="40">
        <v>83.2</v>
      </c>
      <c r="G10" s="40">
        <v>12.4</v>
      </c>
      <c r="H10" s="40">
        <v>151.1</v>
      </c>
      <c r="I10" s="40">
        <v>29.2</v>
      </c>
      <c r="J10" s="44">
        <v>0.65900000000000003</v>
      </c>
      <c r="K10" s="68">
        <f>'4.2c Modelo Final'!$C$7+'4.2c Modelo Final'!$C$8*D10+'4.2c Modelo Final'!$C$9*E10+'4.2c Modelo Final'!$C$10*I10</f>
        <v>280.00053591737031</v>
      </c>
      <c r="L10" s="67">
        <f t="shared" si="0"/>
        <v>58.300535917370325</v>
      </c>
      <c r="M10" s="100">
        <f t="shared" si="1"/>
        <v>0.20821580118180608</v>
      </c>
    </row>
    <row r="11" spans="2:13" ht="19.5" customHeight="1" x14ac:dyDescent="0.3">
      <c r="B11" s="43">
        <v>6</v>
      </c>
      <c r="C11" s="41">
        <v>221.1</v>
      </c>
      <c r="D11" s="41">
        <v>22.1</v>
      </c>
      <c r="E11" s="41">
        <v>40.700000000000003</v>
      </c>
      <c r="F11" s="41">
        <v>87.6</v>
      </c>
      <c r="G11" s="41">
        <v>10.8</v>
      </c>
      <c r="H11" s="40">
        <v>135.19999999999999</v>
      </c>
      <c r="I11" s="41">
        <v>29.5</v>
      </c>
      <c r="J11" s="45">
        <v>0.71899999999999997</v>
      </c>
      <c r="K11" s="68">
        <f>'4.2c Modelo Final'!$C$7+'4.2c Modelo Final'!$C$8*D11+'4.2c Modelo Final'!$C$9*E11+'4.2c Modelo Final'!$C$10*I11</f>
        <v>277.35788673333138</v>
      </c>
      <c r="L11" s="67">
        <f t="shared" si="0"/>
        <v>56.257886733331389</v>
      </c>
      <c r="M11" s="100">
        <f t="shared" si="1"/>
        <v>0.20283499919878289</v>
      </c>
    </row>
    <row r="12" spans="2:13" ht="19.5" customHeight="1" x14ac:dyDescent="0.3">
      <c r="B12" s="42">
        <v>7</v>
      </c>
      <c r="C12" s="40">
        <v>216.7</v>
      </c>
      <c r="D12" s="40">
        <v>22.4</v>
      </c>
      <c r="E12" s="40">
        <v>35.799999999999997</v>
      </c>
      <c r="F12" s="40">
        <v>75.900000000000006</v>
      </c>
      <c r="G12" s="40">
        <v>11.3</v>
      </c>
      <c r="H12" s="40">
        <v>155.69999999999999</v>
      </c>
      <c r="I12" s="40">
        <v>29.8</v>
      </c>
      <c r="J12" s="44">
        <v>0.73499999999999999</v>
      </c>
      <c r="K12" s="68">
        <f>'4.2c Modelo Final'!$C$7+'4.2c Modelo Final'!$C$8*D12+'4.2c Modelo Final'!$C$9*E12+'4.2c Modelo Final'!$C$10*I12</f>
        <v>271.74808314653507</v>
      </c>
      <c r="L12" s="67">
        <f t="shared" si="0"/>
        <v>55.048083146535078</v>
      </c>
      <c r="M12" s="100">
        <f t="shared" si="1"/>
        <v>0.20257027210326789</v>
      </c>
    </row>
    <row r="13" spans="2:13" ht="19.5" customHeight="1" x14ac:dyDescent="0.3">
      <c r="B13" s="43">
        <v>8</v>
      </c>
      <c r="C13" s="41">
        <v>226.2</v>
      </c>
      <c r="D13" s="41">
        <v>25.1</v>
      </c>
      <c r="E13" s="41">
        <v>41</v>
      </c>
      <c r="F13" s="41">
        <v>89.4</v>
      </c>
      <c r="G13" s="41">
        <v>12.2</v>
      </c>
      <c r="H13" s="40">
        <v>151.5</v>
      </c>
      <c r="I13" s="41">
        <v>30</v>
      </c>
      <c r="J13" s="45">
        <v>0.67400000000000004</v>
      </c>
      <c r="K13" s="68">
        <f>'4.2c Modelo Final'!$C$7+'4.2c Modelo Final'!$C$8*D13+'4.2c Modelo Final'!$C$9*E13+'4.2c Modelo Final'!$C$10*I13</f>
        <v>286.47517664232629</v>
      </c>
      <c r="L13" s="67">
        <f t="shared" si="0"/>
        <v>60.275176642326301</v>
      </c>
      <c r="M13" s="100">
        <f t="shared" si="1"/>
        <v>0.21040279073667123</v>
      </c>
    </row>
    <row r="14" spans="2:13" ht="19.5" customHeight="1" x14ac:dyDescent="0.3">
      <c r="B14" s="42">
        <v>9</v>
      </c>
      <c r="C14" s="40">
        <v>220.7</v>
      </c>
      <c r="D14" s="40">
        <v>25.3</v>
      </c>
      <c r="E14" s="40">
        <v>39</v>
      </c>
      <c r="F14" s="40">
        <v>82.3</v>
      </c>
      <c r="G14" s="40">
        <v>10.7</v>
      </c>
      <c r="H14" s="40">
        <v>149.9</v>
      </c>
      <c r="I14" s="40">
        <v>28.2</v>
      </c>
      <c r="J14" s="44">
        <v>0.70899999999999996</v>
      </c>
      <c r="K14" s="68">
        <f>'4.2c Modelo Final'!$C$7+'4.2c Modelo Final'!$C$8*D14+'4.2c Modelo Final'!$C$9*E14+'4.2c Modelo Final'!$C$10*I14</f>
        <v>281.04575050932988</v>
      </c>
      <c r="L14" s="67">
        <f t="shared" si="0"/>
        <v>60.345750509329889</v>
      </c>
      <c r="M14" s="100">
        <f t="shared" si="1"/>
        <v>0.21471860150871269</v>
      </c>
    </row>
    <row r="15" spans="2:13" ht="19.5" customHeight="1" x14ac:dyDescent="0.3">
      <c r="B15" s="43">
        <v>10</v>
      </c>
      <c r="C15" s="41">
        <v>209.3</v>
      </c>
      <c r="D15" s="41">
        <v>22.9</v>
      </c>
      <c r="E15" s="41">
        <v>37.1</v>
      </c>
      <c r="F15" s="41">
        <v>81.2</v>
      </c>
      <c r="G15" s="41">
        <v>12.4</v>
      </c>
      <c r="H15" s="40">
        <v>155.4</v>
      </c>
      <c r="I15" s="41">
        <v>27.9</v>
      </c>
      <c r="J15" s="45">
        <v>0.68799999999999994</v>
      </c>
      <c r="K15" s="68">
        <f>'4.2c Modelo Final'!$C$7+'4.2c Modelo Final'!$C$8*D15+'4.2c Modelo Final'!$C$9*E15+'4.2c Modelo Final'!$C$10*I15</f>
        <v>271.58353137505247</v>
      </c>
      <c r="L15" s="67">
        <f t="shared" si="0"/>
        <v>62.283531375052462</v>
      </c>
      <c r="M15" s="100">
        <f t="shared" si="1"/>
        <v>0.22933471355831186</v>
      </c>
    </row>
    <row r="16" spans="2:13" ht="19.5" customHeight="1" x14ac:dyDescent="0.3">
      <c r="B16" s="42">
        <v>11</v>
      </c>
      <c r="C16" s="40">
        <v>219.3</v>
      </c>
      <c r="D16" s="40">
        <v>25.1</v>
      </c>
      <c r="E16" s="40">
        <v>39</v>
      </c>
      <c r="F16" s="40">
        <v>78.7</v>
      </c>
      <c r="G16" s="40">
        <v>11.6</v>
      </c>
      <c r="H16" s="40">
        <v>160.5</v>
      </c>
      <c r="I16" s="40">
        <v>26.5</v>
      </c>
      <c r="J16" s="44">
        <v>0.68400000000000005</v>
      </c>
      <c r="K16" s="68">
        <f>'4.2c Modelo Final'!$C$7+'4.2c Modelo Final'!$C$8*D16+'4.2c Modelo Final'!$C$9*E16+'4.2c Modelo Final'!$C$10*I16</f>
        <v>277.5688185625981</v>
      </c>
      <c r="L16" s="67">
        <f t="shared" si="0"/>
        <v>58.268818562598085</v>
      </c>
      <c r="M16" s="100">
        <f t="shared" si="1"/>
        <v>0.20992566407259156</v>
      </c>
    </row>
    <row r="17" spans="2:13" ht="19.5" customHeight="1" x14ac:dyDescent="0.3">
      <c r="B17" s="43">
        <v>12</v>
      </c>
      <c r="C17" s="41">
        <v>211.9</v>
      </c>
      <c r="D17" s="41">
        <v>20.7</v>
      </c>
      <c r="E17" s="41">
        <v>42.1</v>
      </c>
      <c r="F17" s="41">
        <v>76</v>
      </c>
      <c r="G17" s="41">
        <v>11.5</v>
      </c>
      <c r="H17" s="40">
        <v>155.6</v>
      </c>
      <c r="I17" s="41">
        <v>25.7</v>
      </c>
      <c r="J17" s="45">
        <v>0.70899999999999996</v>
      </c>
      <c r="K17" s="68">
        <f>'4.2c Modelo Final'!$C$7+'4.2c Modelo Final'!$C$8*D17+'4.2c Modelo Final'!$C$9*E17+'4.2c Modelo Final'!$C$10*I17</f>
        <v>269.0757699999134</v>
      </c>
      <c r="L17" s="67">
        <f t="shared" si="0"/>
        <v>57.175769999913399</v>
      </c>
      <c r="M17" s="100">
        <f t="shared" si="1"/>
        <v>0.21248947833516113</v>
      </c>
    </row>
    <row r="18" spans="2:13" ht="19.5" customHeight="1" x14ac:dyDescent="0.3">
      <c r="B18" s="42">
        <v>13</v>
      </c>
      <c r="C18" s="40">
        <v>213.3</v>
      </c>
      <c r="D18" s="40">
        <v>22.9</v>
      </c>
      <c r="E18" s="40">
        <v>37.4</v>
      </c>
      <c r="F18" s="40">
        <v>86.5</v>
      </c>
      <c r="G18" s="40">
        <v>12.4</v>
      </c>
      <c r="H18" s="40">
        <v>134.19999999999999</v>
      </c>
      <c r="I18" s="40">
        <v>26.7</v>
      </c>
      <c r="J18" s="44">
        <v>0.65300000000000002</v>
      </c>
      <c r="K18" s="68">
        <f>'4.2c Modelo Final'!$C$7+'4.2c Modelo Final'!$C$8*D18+'4.2c Modelo Final'!$C$9*E18+'4.2c Modelo Final'!$C$10*I18</f>
        <v>269.92074623561894</v>
      </c>
      <c r="L18" s="67">
        <f t="shared" si="0"/>
        <v>56.620746235618924</v>
      </c>
      <c r="M18" s="100">
        <f t="shared" si="1"/>
        <v>0.20976804126865298</v>
      </c>
    </row>
    <row r="19" spans="2:13" ht="19.5" customHeight="1" x14ac:dyDescent="0.3">
      <c r="B19" s="43">
        <v>14</v>
      </c>
      <c r="C19" s="41">
        <v>203.5</v>
      </c>
      <c r="D19" s="41">
        <v>20.399999999999999</v>
      </c>
      <c r="E19" s="41">
        <v>37.200000000000003</v>
      </c>
      <c r="F19" s="41">
        <v>83.3</v>
      </c>
      <c r="G19" s="41">
        <v>12.2</v>
      </c>
      <c r="H19" s="40">
        <v>138.4</v>
      </c>
      <c r="I19" s="41">
        <v>26.4</v>
      </c>
      <c r="J19" s="45">
        <v>0.63300000000000001</v>
      </c>
      <c r="K19" s="68">
        <f>'4.2c Modelo Final'!$C$7+'4.2c Modelo Final'!$C$8*D19+'4.2c Modelo Final'!$C$9*E19+'4.2c Modelo Final'!$C$10*I19</f>
        <v>262.59636691069551</v>
      </c>
      <c r="L19" s="67">
        <f t="shared" si="0"/>
        <v>59.096366910695508</v>
      </c>
      <c r="M19" s="100">
        <f t="shared" si="1"/>
        <v>0.22504639955964495</v>
      </c>
    </row>
    <row r="20" spans="2:13" ht="19.5" customHeight="1" x14ac:dyDescent="0.3">
      <c r="B20" s="42">
        <v>15</v>
      </c>
      <c r="C20" s="40">
        <v>200.2</v>
      </c>
      <c r="D20" s="40">
        <v>20.9</v>
      </c>
      <c r="E20" s="40">
        <v>35.4</v>
      </c>
      <c r="F20" s="40">
        <v>77.599999999999994</v>
      </c>
      <c r="G20" s="40">
        <v>11.5</v>
      </c>
      <c r="H20" s="40">
        <v>143.30000000000001</v>
      </c>
      <c r="I20" s="40">
        <v>24.2</v>
      </c>
      <c r="J20" s="44">
        <v>0.60199999999999998</v>
      </c>
      <c r="K20" s="68">
        <f>'4.2c Modelo Final'!$C$7+'4.2c Modelo Final'!$C$8*D20+'4.2c Modelo Final'!$C$9*E20+'4.2c Modelo Final'!$C$10*I20</f>
        <v>257.53625670310532</v>
      </c>
      <c r="L20" s="67">
        <f t="shared" si="0"/>
        <v>57.336256703105335</v>
      </c>
      <c r="M20" s="100">
        <f t="shared" si="1"/>
        <v>0.22263372713848251</v>
      </c>
    </row>
    <row r="21" spans="2:13" ht="19.5" customHeight="1" x14ac:dyDescent="0.3">
      <c r="B21" s="43">
        <v>16</v>
      </c>
      <c r="C21" s="41">
        <v>206.6</v>
      </c>
      <c r="D21" s="41">
        <v>21.6</v>
      </c>
      <c r="E21" s="41">
        <v>34.200000000000003</v>
      </c>
      <c r="F21" s="41">
        <v>77.599999999999994</v>
      </c>
      <c r="G21" s="41">
        <v>12.8</v>
      </c>
      <c r="H21" s="40">
        <v>148.19999999999999</v>
      </c>
      <c r="I21" s="41">
        <v>24.3</v>
      </c>
      <c r="J21" s="45">
        <v>0.60499999999999998</v>
      </c>
      <c r="K21" s="68">
        <f>'4.2c Modelo Final'!$C$7+'4.2c Modelo Final'!$C$8*D21+'4.2c Modelo Final'!$C$9*E21+'4.2c Modelo Final'!$C$10*I21</f>
        <v>257.84270616580216</v>
      </c>
      <c r="L21" s="67">
        <f t="shared" si="0"/>
        <v>51.242706165802161</v>
      </c>
      <c r="M21" s="100">
        <f t="shared" si="1"/>
        <v>0.19873630294917574</v>
      </c>
    </row>
    <row r="22" spans="2:13" ht="19.5" customHeight="1" x14ac:dyDescent="0.3">
      <c r="B22" s="42">
        <v>17</v>
      </c>
      <c r="C22" s="40">
        <v>200.8</v>
      </c>
      <c r="D22" s="40">
        <v>19.7</v>
      </c>
      <c r="E22" s="40">
        <v>37.4</v>
      </c>
      <c r="F22" s="40">
        <v>81.599999999999994</v>
      </c>
      <c r="G22" s="40">
        <v>10.8</v>
      </c>
      <c r="H22" s="40">
        <v>151.9</v>
      </c>
      <c r="I22" s="40">
        <v>22.8</v>
      </c>
      <c r="J22" s="44">
        <v>0.61099999999999999</v>
      </c>
      <c r="K22" s="68">
        <f>'4.2c Modelo Final'!$C$7+'4.2c Modelo Final'!$C$8*D22+'4.2c Modelo Final'!$C$9*E22+'4.2c Modelo Final'!$C$10*I22</f>
        <v>254.79453957338839</v>
      </c>
      <c r="L22" s="67">
        <f t="shared" si="0"/>
        <v>53.99453957338838</v>
      </c>
      <c r="M22" s="100">
        <f t="shared" si="1"/>
        <v>0.21191403734080552</v>
      </c>
    </row>
    <row r="23" spans="2:13" ht="19.5" customHeight="1" x14ac:dyDescent="0.3">
      <c r="B23" s="43">
        <v>18</v>
      </c>
      <c r="C23" s="41">
        <v>197.8</v>
      </c>
      <c r="D23" s="41">
        <v>20.3</v>
      </c>
      <c r="E23" s="41">
        <v>33.6</v>
      </c>
      <c r="F23" s="41">
        <v>90</v>
      </c>
      <c r="G23" s="41">
        <v>12.4</v>
      </c>
      <c r="H23" s="40">
        <v>142.6</v>
      </c>
      <c r="I23" s="41">
        <v>21</v>
      </c>
      <c r="J23" s="45">
        <v>0.60299999999999998</v>
      </c>
      <c r="K23" s="68">
        <f>'4.2c Modelo Final'!$C$7+'4.2c Modelo Final'!$C$8*D23+'4.2c Modelo Final'!$C$9*E23+'4.2c Modelo Final'!$C$10*I23</f>
        <v>247.86865522856513</v>
      </c>
      <c r="L23" s="67">
        <f t="shared" si="0"/>
        <v>50.06865522856512</v>
      </c>
      <c r="M23" s="100">
        <f t="shared" si="1"/>
        <v>0.20199671952226356</v>
      </c>
    </row>
    <row r="24" spans="2:13" ht="19.5" customHeight="1" x14ac:dyDescent="0.3">
      <c r="B24" s="42">
        <v>19</v>
      </c>
      <c r="C24" s="40">
        <v>201.9</v>
      </c>
      <c r="D24" s="40">
        <v>22.5</v>
      </c>
      <c r="E24" s="40">
        <v>35.299999999999997</v>
      </c>
      <c r="F24" s="40">
        <v>81.900000000000006</v>
      </c>
      <c r="G24" s="40">
        <v>12.3</v>
      </c>
      <c r="H24" s="40">
        <v>149.4</v>
      </c>
      <c r="I24" s="40">
        <v>21</v>
      </c>
      <c r="J24" s="44">
        <v>0.60099999999999998</v>
      </c>
      <c r="K24" s="68">
        <f>'4.2c Modelo Final'!$C$7+'4.2c Modelo Final'!$C$8*D24+'4.2c Modelo Final'!$C$9*E24+'4.2c Modelo Final'!$C$10*I24</f>
        <v>256.00550544288416</v>
      </c>
      <c r="L24" s="67">
        <f t="shared" si="0"/>
        <v>54.105505442884152</v>
      </c>
      <c r="M24" s="100">
        <f t="shared" si="1"/>
        <v>0.21134508552573025</v>
      </c>
    </row>
    <row r="25" spans="2:13" ht="19.5" customHeight="1" x14ac:dyDescent="0.3">
      <c r="B25" s="43">
        <v>20</v>
      </c>
      <c r="C25" s="41">
        <v>195.6</v>
      </c>
      <c r="D25" s="41">
        <v>19.8</v>
      </c>
      <c r="E25" s="41">
        <v>33.9</v>
      </c>
      <c r="F25" s="41">
        <v>76.7</v>
      </c>
      <c r="G25" s="41">
        <v>11.5</v>
      </c>
      <c r="H25" s="40">
        <v>142.30000000000001</v>
      </c>
      <c r="I25" s="41">
        <v>21.2</v>
      </c>
      <c r="J25" s="45">
        <v>0.621</v>
      </c>
      <c r="K25" s="68">
        <f>'4.2c Modelo Final'!$C$7+'4.2c Modelo Final'!$C$8*D25+'4.2c Modelo Final'!$C$9*E25+'4.2c Modelo Final'!$C$10*I25</f>
        <v>247.33549646019708</v>
      </c>
      <c r="L25" s="67">
        <f t="shared" si="0"/>
        <v>51.735496460197083</v>
      </c>
      <c r="M25" s="100">
        <f t="shared" si="1"/>
        <v>0.20917133691129011</v>
      </c>
    </row>
    <row r="26" spans="2:13" ht="19.5" customHeight="1" x14ac:dyDescent="0.3">
      <c r="B26" s="42">
        <v>21</v>
      </c>
      <c r="C26" s="40">
        <v>201.8</v>
      </c>
      <c r="D26" s="40">
        <v>22.4</v>
      </c>
      <c r="E26" s="40">
        <v>35.700000000000003</v>
      </c>
      <c r="F26" s="40">
        <v>82</v>
      </c>
      <c r="G26" s="40">
        <v>12.1</v>
      </c>
      <c r="H26" s="40">
        <v>143.4</v>
      </c>
      <c r="I26" s="40">
        <v>19</v>
      </c>
      <c r="J26" s="44">
        <v>0.56799999999999995</v>
      </c>
      <c r="K26" s="68">
        <f>'4.2c Modelo Final'!$C$7+'4.2c Modelo Final'!$C$8*D26+'4.2c Modelo Final'!$C$9*E26+'4.2c Modelo Final'!$C$10*I26</f>
        <v>252.83227231730359</v>
      </c>
      <c r="L26" s="67">
        <f t="shared" si="0"/>
        <v>51.03227231730358</v>
      </c>
      <c r="M26" s="100">
        <f t="shared" si="1"/>
        <v>0.20184239871585011</v>
      </c>
    </row>
    <row r="27" spans="2:13" ht="19.5" customHeight="1" x14ac:dyDescent="0.3">
      <c r="B27" s="43">
        <v>22</v>
      </c>
      <c r="C27" s="41">
        <v>192.1</v>
      </c>
      <c r="D27" s="41">
        <v>19.3</v>
      </c>
      <c r="E27" s="41">
        <v>35.200000000000003</v>
      </c>
      <c r="F27" s="41">
        <v>81.900000000000006</v>
      </c>
      <c r="G27" s="41">
        <v>10.7</v>
      </c>
      <c r="H27" s="40">
        <v>137.5</v>
      </c>
      <c r="I27" s="41">
        <v>19.600000000000001</v>
      </c>
      <c r="J27" s="45">
        <v>0.622</v>
      </c>
      <c r="K27" s="68">
        <f>'4.2c Modelo Final'!$C$7+'4.2c Modelo Final'!$C$8*D27+'4.2c Modelo Final'!$C$9*E27+'4.2c Modelo Final'!$C$10*I27</f>
        <v>245.08419909549363</v>
      </c>
      <c r="L27" s="67">
        <f t="shared" si="0"/>
        <v>52.984199095493636</v>
      </c>
      <c r="M27" s="100">
        <f t="shared" si="1"/>
        <v>0.21618773993197776</v>
      </c>
    </row>
    <row r="28" spans="2:13" ht="19.5" customHeight="1" x14ac:dyDescent="0.3">
      <c r="B28" s="42">
        <v>23</v>
      </c>
      <c r="C28" s="40">
        <v>195</v>
      </c>
      <c r="D28" s="40">
        <v>22.4</v>
      </c>
      <c r="E28" s="40">
        <v>36.6</v>
      </c>
      <c r="F28" s="40">
        <v>71.7</v>
      </c>
      <c r="G28" s="40">
        <v>12.6</v>
      </c>
      <c r="H28" s="40">
        <v>141.1</v>
      </c>
      <c r="I28" s="40">
        <v>15.2</v>
      </c>
      <c r="J28" s="44">
        <v>0.51400000000000001</v>
      </c>
      <c r="K28" s="68">
        <f>'4.2c Modelo Final'!$C$7+'4.2c Modelo Final'!$C$8*D28+'4.2c Modelo Final'!$C$9*E28+'4.2c Modelo Final'!$C$10*I28</f>
        <v>247.49623703217495</v>
      </c>
      <c r="L28" s="67">
        <f t="shared" si="0"/>
        <v>52.496237032174946</v>
      </c>
      <c r="M28" s="100">
        <f t="shared" si="1"/>
        <v>0.21210923310058383</v>
      </c>
    </row>
    <row r="29" spans="2:13" ht="19.5" customHeight="1" x14ac:dyDescent="0.3">
      <c r="B29" s="43">
        <v>24</v>
      </c>
      <c r="C29" s="41">
        <v>197.5</v>
      </c>
      <c r="D29" s="41">
        <v>24.4</v>
      </c>
      <c r="E29" s="41">
        <v>33.200000000000003</v>
      </c>
      <c r="F29" s="41">
        <v>82.8</v>
      </c>
      <c r="G29" s="41">
        <v>11.6</v>
      </c>
      <c r="H29" s="40">
        <v>137.9</v>
      </c>
      <c r="I29" s="41">
        <v>17.600000000000001</v>
      </c>
      <c r="J29" s="45">
        <v>0.63800000000000001</v>
      </c>
      <c r="K29" s="68">
        <f>'4.2c Modelo Final'!$C$7+'4.2c Modelo Final'!$C$8*D29+'4.2c Modelo Final'!$C$9*E29+'4.2c Modelo Final'!$C$10*I29</f>
        <v>252.08759352363813</v>
      </c>
      <c r="L29" s="67">
        <f t="shared" si="0"/>
        <v>54.587593523638134</v>
      </c>
      <c r="M29" s="100">
        <f t="shared" si="1"/>
        <v>0.21654216600119783</v>
      </c>
    </row>
    <row r="30" spans="2:13" ht="19.5" customHeight="1" x14ac:dyDescent="0.3">
      <c r="B30" s="42">
        <v>25</v>
      </c>
      <c r="C30" s="40">
        <v>184.4</v>
      </c>
      <c r="D30" s="40">
        <v>18.3</v>
      </c>
      <c r="E30" s="40">
        <v>33.700000000000003</v>
      </c>
      <c r="F30" s="40">
        <v>82</v>
      </c>
      <c r="G30" s="40">
        <v>11.3</v>
      </c>
      <c r="H30" s="40">
        <v>140.69999999999999</v>
      </c>
      <c r="I30" s="40">
        <v>16.399999999999999</v>
      </c>
      <c r="J30" s="44">
        <v>0.55700000000000005</v>
      </c>
      <c r="K30" s="68">
        <f>'4.2c Modelo Final'!$C$7+'4.2c Modelo Final'!$C$8*D30+'4.2c Modelo Final'!$C$9*E30+'4.2c Modelo Final'!$C$10*I30</f>
        <v>234.79658552510352</v>
      </c>
      <c r="L30" s="67">
        <f t="shared" si="0"/>
        <v>50.396585525103518</v>
      </c>
      <c r="M30" s="100">
        <f t="shared" si="1"/>
        <v>0.21463934585077393</v>
      </c>
    </row>
    <row r="31" spans="2:13" ht="19.5" customHeight="1" x14ac:dyDescent="0.3">
      <c r="B31" s="43">
        <v>26</v>
      </c>
      <c r="C31" s="41">
        <v>188.6</v>
      </c>
      <c r="D31" s="41">
        <v>21.6</v>
      </c>
      <c r="E31" s="41">
        <v>32.1</v>
      </c>
      <c r="F31" s="41">
        <v>85.9</v>
      </c>
      <c r="G31" s="41">
        <v>12.7</v>
      </c>
      <c r="H31" s="40">
        <v>155.9</v>
      </c>
      <c r="I31" s="41">
        <v>15.6</v>
      </c>
      <c r="J31" s="45">
        <v>0.5</v>
      </c>
      <c r="K31" s="68">
        <f>'4.2c Modelo Final'!$C$7+'4.2c Modelo Final'!$C$8*D31+'4.2c Modelo Final'!$C$9*E31+'4.2c Modelo Final'!$C$10*I31</f>
        <v>239.75557352803048</v>
      </c>
      <c r="L31" s="67">
        <f t="shared" si="0"/>
        <v>51.155573528030487</v>
      </c>
      <c r="M31" s="100">
        <f t="shared" si="1"/>
        <v>0.21336552379271279</v>
      </c>
    </row>
    <row r="32" spans="2:13" ht="19.5" customHeight="1" x14ac:dyDescent="0.3">
      <c r="B32" s="42">
        <v>27</v>
      </c>
      <c r="C32" s="40">
        <v>196.9</v>
      </c>
      <c r="D32" s="40">
        <v>24.5</v>
      </c>
      <c r="E32" s="40">
        <v>33.299999999999997</v>
      </c>
      <c r="F32" s="40">
        <v>90.8</v>
      </c>
      <c r="G32" s="40">
        <v>11.2</v>
      </c>
      <c r="H32" s="40">
        <v>140.9</v>
      </c>
      <c r="I32" s="40">
        <v>15.6</v>
      </c>
      <c r="J32" s="44">
        <v>0.49299999999999999</v>
      </c>
      <c r="K32" s="68">
        <f>'4.2c Modelo Final'!$C$7+'4.2c Modelo Final'!$C$8*D32+'4.2c Modelo Final'!$C$9*E32+'4.2c Modelo Final'!$C$10*I32</f>
        <v>249.01271941521475</v>
      </c>
      <c r="L32" s="67">
        <f t="shared" si="0"/>
        <v>52.112719415214741</v>
      </c>
      <c r="M32" s="100">
        <f t="shared" si="1"/>
        <v>0.20927733947726462</v>
      </c>
    </row>
    <row r="33" spans="2:13" ht="19.5" customHeight="1" x14ac:dyDescent="0.3">
      <c r="B33" s="43">
        <v>28</v>
      </c>
      <c r="C33" s="41">
        <v>192</v>
      </c>
      <c r="D33" s="41">
        <v>23.7</v>
      </c>
      <c r="E33" s="41">
        <v>35.1</v>
      </c>
      <c r="F33" s="41">
        <v>87.7</v>
      </c>
      <c r="G33" s="41">
        <v>10.5</v>
      </c>
      <c r="H33" s="40">
        <v>167.7</v>
      </c>
      <c r="I33" s="41">
        <v>13.4</v>
      </c>
      <c r="J33" s="45">
        <v>0.51600000000000001</v>
      </c>
      <c r="K33" s="68">
        <f>'4.2c Modelo Final'!$C$7+'4.2c Modelo Final'!$C$8*D33+'4.2c Modelo Final'!$C$9*E33+'4.2c Modelo Final'!$C$10*I33</f>
        <v>245.64139293454684</v>
      </c>
      <c r="L33" s="67">
        <f t="shared" si="0"/>
        <v>53.641392934546843</v>
      </c>
      <c r="M33" s="100">
        <f t="shared" si="1"/>
        <v>0.21837277623987433</v>
      </c>
    </row>
    <row r="34" spans="2:13" ht="19.5" customHeight="1" x14ac:dyDescent="0.3">
      <c r="B34" s="42">
        <v>29</v>
      </c>
      <c r="C34" s="40">
        <v>202.5</v>
      </c>
      <c r="D34" s="40">
        <v>25.1</v>
      </c>
      <c r="E34" s="40">
        <v>36</v>
      </c>
      <c r="F34" s="40">
        <v>81.900000000000006</v>
      </c>
      <c r="G34" s="40">
        <v>10.4</v>
      </c>
      <c r="H34" s="40">
        <v>151.69999999999999</v>
      </c>
      <c r="I34" s="40">
        <v>14.9</v>
      </c>
      <c r="J34" s="44">
        <v>0.51200000000000001</v>
      </c>
      <c r="K34" s="68">
        <f>'4.2c Modelo Final'!$C$7+'4.2c Modelo Final'!$C$8*D34+'4.2c Modelo Final'!$C$9*E34+'4.2c Modelo Final'!$C$10*I34</f>
        <v>253.17044567121229</v>
      </c>
      <c r="L34" s="67">
        <f t="shared" si="0"/>
        <v>50.670445671212292</v>
      </c>
      <c r="M34" s="100">
        <f t="shared" si="1"/>
        <v>0.20014360498072137</v>
      </c>
    </row>
    <row r="35" spans="2:13" ht="19.5" customHeight="1" x14ac:dyDescent="0.3">
      <c r="B35" s="43">
        <v>30</v>
      </c>
      <c r="C35" s="41">
        <v>191.3</v>
      </c>
      <c r="D35" s="41">
        <v>23.8</v>
      </c>
      <c r="E35" s="41">
        <v>32.6</v>
      </c>
      <c r="F35" s="41">
        <v>78.400000000000006</v>
      </c>
      <c r="G35" s="41">
        <v>12.3</v>
      </c>
      <c r="H35" s="40">
        <v>149.4</v>
      </c>
      <c r="I35" s="41">
        <v>15.3</v>
      </c>
      <c r="J35" s="45">
        <v>0.54600000000000004</v>
      </c>
      <c r="K35" s="68">
        <f>'4.2c Modelo Final'!$C$7+'4.2c Modelo Final'!$C$8*D35+'4.2c Modelo Final'!$C$9*E35+'4.2c Modelo Final'!$C$10*I35</f>
        <v>245.67772769596593</v>
      </c>
      <c r="L35" s="67">
        <f t="shared" si="0"/>
        <v>54.377727695965916</v>
      </c>
      <c r="M35" s="100">
        <f t="shared" si="1"/>
        <v>0.22133763693573436</v>
      </c>
    </row>
    <row r="36" spans="2:13" ht="19.5" customHeight="1" x14ac:dyDescent="0.3">
      <c r="B36" s="42">
        <v>31</v>
      </c>
      <c r="C36" s="40">
        <v>201.3</v>
      </c>
      <c r="D36" s="40">
        <v>25.2</v>
      </c>
      <c r="E36" s="40">
        <v>36.5</v>
      </c>
      <c r="F36" s="40">
        <v>93.8</v>
      </c>
      <c r="G36" s="40">
        <v>10.6</v>
      </c>
      <c r="H36" s="40">
        <v>141.6</v>
      </c>
      <c r="I36" s="40">
        <v>16.399999999999999</v>
      </c>
      <c r="J36" s="44">
        <v>0.55200000000000005</v>
      </c>
      <c r="K36" s="68">
        <f>'4.2c Modelo Final'!$C$7+'4.2c Modelo Final'!$C$8*D36+'4.2c Modelo Final'!$C$9*E36+'4.2c Modelo Final'!$C$10*I36</f>
        <v>256.74436131432856</v>
      </c>
      <c r="L36" s="67">
        <f t="shared" si="0"/>
        <v>55.444361314328546</v>
      </c>
      <c r="M36" s="100">
        <f t="shared" si="1"/>
        <v>0.21595162219141703</v>
      </c>
    </row>
    <row r="37" spans="2:13" ht="19.5" customHeight="1" x14ac:dyDescent="0.3">
      <c r="B37" s="43">
        <v>32</v>
      </c>
      <c r="C37" s="41">
        <v>199</v>
      </c>
      <c r="D37" s="41">
        <v>24.9</v>
      </c>
      <c r="E37" s="41">
        <v>37.799999999999997</v>
      </c>
      <c r="F37" s="41">
        <v>83.2</v>
      </c>
      <c r="G37" s="41">
        <v>13.4</v>
      </c>
      <c r="H37" s="40">
        <v>153.30000000000001</v>
      </c>
      <c r="I37" s="41">
        <v>14.8</v>
      </c>
      <c r="J37" s="45">
        <v>0.51500000000000001</v>
      </c>
      <c r="K37" s="68">
        <f>'4.2c Modelo Final'!$C$7+'4.2c Modelo Final'!$C$8*D37+'4.2c Modelo Final'!$C$9*E37+'4.2c Modelo Final'!$C$10*I37</f>
        <v>255.01471702831773</v>
      </c>
      <c r="L37" s="67">
        <f t="shared" si="0"/>
        <v>56.014717028317733</v>
      </c>
      <c r="M37" s="100">
        <f t="shared" si="1"/>
        <v>0.21965287996338526</v>
      </c>
    </row>
    <row r="38" spans="2:13" ht="19.5" customHeight="1" x14ac:dyDescent="0.3">
      <c r="B38" s="42">
        <v>33</v>
      </c>
      <c r="C38" s="40">
        <v>207</v>
      </c>
      <c r="D38" s="40">
        <v>27.2</v>
      </c>
      <c r="E38" s="40">
        <v>36</v>
      </c>
      <c r="F38" s="40">
        <v>83.1</v>
      </c>
      <c r="G38" s="40">
        <v>9.9</v>
      </c>
      <c r="H38" s="40">
        <v>143.69999999999999</v>
      </c>
      <c r="I38" s="40">
        <v>14.8</v>
      </c>
      <c r="J38" s="44">
        <v>0.49099999999999999</v>
      </c>
      <c r="K38" s="68">
        <f>'4.2c Modelo Final'!$C$7+'4.2c Modelo Final'!$C$8*D38+'4.2c Modelo Final'!$C$9*E38+'4.2c Modelo Final'!$C$10*I38</f>
        <v>258.47396306407063</v>
      </c>
      <c r="L38" s="67">
        <f t="shared" ref="L38:L69" si="2">K38-C38</f>
        <v>51.473963064070631</v>
      </c>
      <c r="M38" s="100">
        <f t="shared" ref="M38:M69" si="3">L38/K38</f>
        <v>0.19914564103043231</v>
      </c>
    </row>
    <row r="39" spans="2:13" ht="19.5" customHeight="1" x14ac:dyDescent="0.3">
      <c r="B39" s="43">
        <v>34</v>
      </c>
      <c r="C39" s="41">
        <v>204.3</v>
      </c>
      <c r="D39" s="41">
        <v>25.5</v>
      </c>
      <c r="E39" s="41">
        <v>39.4</v>
      </c>
      <c r="F39" s="41">
        <v>82.9</v>
      </c>
      <c r="G39" s="41">
        <v>13.3</v>
      </c>
      <c r="H39" s="40">
        <v>148.9</v>
      </c>
      <c r="I39" s="41">
        <v>15.4</v>
      </c>
      <c r="J39" s="45">
        <v>0.48</v>
      </c>
      <c r="K39" s="68">
        <f>'4.2c Modelo Final'!$C$7+'4.2c Modelo Final'!$C$8*D39+'4.2c Modelo Final'!$C$9*E39+'4.2c Modelo Final'!$C$10*I39</f>
        <v>259.88028419306852</v>
      </c>
      <c r="L39" s="67">
        <f t="shared" si="2"/>
        <v>55.580284193068508</v>
      </c>
      <c r="M39" s="100">
        <f t="shared" si="3"/>
        <v>0.21386879872648276</v>
      </c>
    </row>
    <row r="40" spans="2:13" ht="19.5" customHeight="1" x14ac:dyDescent="0.3">
      <c r="B40" s="42">
        <v>35</v>
      </c>
      <c r="C40" s="40">
        <v>203.9</v>
      </c>
      <c r="D40" s="40">
        <v>25.4</v>
      </c>
      <c r="E40" s="40">
        <v>34.1</v>
      </c>
      <c r="F40" s="40">
        <v>83.8</v>
      </c>
      <c r="G40" s="40">
        <v>12</v>
      </c>
      <c r="H40" s="40">
        <v>167.2</v>
      </c>
      <c r="I40" s="40">
        <v>17.2</v>
      </c>
      <c r="J40" s="44">
        <v>0.53200000000000003</v>
      </c>
      <c r="K40" s="68">
        <f>'4.2c Modelo Final'!$C$7+'4.2c Modelo Final'!$C$8*D40+'4.2c Modelo Final'!$C$9*E40+'4.2c Modelo Final'!$C$10*I40</f>
        <v>255.27038136805095</v>
      </c>
      <c r="L40" s="67">
        <f t="shared" si="2"/>
        <v>51.370381368050943</v>
      </c>
      <c r="M40" s="100">
        <f t="shared" si="3"/>
        <v>0.2012390982954842</v>
      </c>
    </row>
    <row r="41" spans="2:13" ht="19.5" customHeight="1" x14ac:dyDescent="0.3">
      <c r="B41" s="43">
        <v>36</v>
      </c>
      <c r="C41" s="41">
        <v>193.1</v>
      </c>
      <c r="D41" s="41">
        <v>23.8</v>
      </c>
      <c r="E41" s="41">
        <v>33.4</v>
      </c>
      <c r="F41" s="41">
        <v>82.4</v>
      </c>
      <c r="G41" s="41">
        <v>11.7</v>
      </c>
      <c r="H41" s="40">
        <v>147.30000000000001</v>
      </c>
      <c r="I41" s="41">
        <v>17.2</v>
      </c>
      <c r="J41" s="45">
        <v>0.57399999999999995</v>
      </c>
      <c r="K41" s="68">
        <f>'4.2c Modelo Final'!$C$7+'4.2c Modelo Final'!$C$8*D41+'4.2c Modelo Final'!$C$9*E41+'4.2c Modelo Final'!$C$10*I41</f>
        <v>250.10947059492756</v>
      </c>
      <c r="L41" s="67">
        <f t="shared" si="2"/>
        <v>57.009470594927564</v>
      </c>
      <c r="M41" s="100">
        <f t="shared" si="3"/>
        <v>0.22793807231417876</v>
      </c>
    </row>
    <row r="42" spans="2:13" ht="19.5" customHeight="1" x14ac:dyDescent="0.3">
      <c r="B42" s="42">
        <v>37</v>
      </c>
      <c r="C42" s="40">
        <v>195.8</v>
      </c>
      <c r="D42" s="40">
        <v>23.2</v>
      </c>
      <c r="E42" s="40">
        <v>32.6</v>
      </c>
      <c r="F42" s="40">
        <v>80.599999999999994</v>
      </c>
      <c r="G42" s="40">
        <v>11.3</v>
      </c>
      <c r="H42" s="40">
        <v>156.6</v>
      </c>
      <c r="I42" s="40">
        <v>17</v>
      </c>
      <c r="J42" s="44">
        <v>0.55100000000000005</v>
      </c>
      <c r="K42" s="68">
        <f>'4.2c Modelo Final'!$C$7+'4.2c Modelo Final'!$C$8*D42+'4.2c Modelo Final'!$C$9*E42+'4.2c Modelo Final'!$C$10*I42</f>
        <v>247.0680473279273</v>
      </c>
      <c r="L42" s="67">
        <f t="shared" si="2"/>
        <v>51.268047327927292</v>
      </c>
      <c r="M42" s="100">
        <f t="shared" si="3"/>
        <v>0.20750577779036106</v>
      </c>
    </row>
    <row r="43" spans="2:13" ht="19.5" customHeight="1" x14ac:dyDescent="0.3">
      <c r="B43" s="43">
        <v>38</v>
      </c>
      <c r="C43" s="41">
        <v>205.9</v>
      </c>
      <c r="D43" s="41">
        <v>22.8</v>
      </c>
      <c r="E43" s="41">
        <v>39.799999999999997</v>
      </c>
      <c r="F43" s="41">
        <v>80.7</v>
      </c>
      <c r="G43" s="41">
        <v>12.2</v>
      </c>
      <c r="H43" s="40">
        <v>142.69999999999999</v>
      </c>
      <c r="I43" s="41">
        <v>18.7</v>
      </c>
      <c r="J43" s="45">
        <v>0.52500000000000002</v>
      </c>
      <c r="K43" s="68">
        <f>'4.2c Modelo Final'!$C$7+'4.2c Modelo Final'!$C$8*D43+'4.2c Modelo Final'!$C$9*E43+'4.2c Modelo Final'!$C$10*I43</f>
        <v>259.13907751542973</v>
      </c>
      <c r="L43" s="67">
        <f t="shared" si="2"/>
        <v>53.239077515429727</v>
      </c>
      <c r="M43" s="100">
        <f t="shared" si="3"/>
        <v>0.20544596371135784</v>
      </c>
    </row>
    <row r="44" spans="2:13" ht="19.5" customHeight="1" x14ac:dyDescent="0.3">
      <c r="B44" s="42">
        <v>39</v>
      </c>
      <c r="C44" s="40">
        <v>204.7</v>
      </c>
      <c r="D44" s="40">
        <v>23.7</v>
      </c>
      <c r="E44" s="40">
        <v>38.4</v>
      </c>
      <c r="F44" s="40">
        <v>82.9</v>
      </c>
      <c r="G44" s="40">
        <v>11.8</v>
      </c>
      <c r="H44" s="40">
        <v>147.69999999999999</v>
      </c>
      <c r="I44" s="40">
        <v>19.100000000000001</v>
      </c>
      <c r="J44" s="44">
        <v>0.57499999999999996</v>
      </c>
      <c r="K44" s="68">
        <f>'4.2c Modelo Final'!$C$7+'4.2c Modelo Final'!$C$8*D44+'4.2c Modelo Final'!$C$9*E44+'4.2c Modelo Final'!$C$10*I44</f>
        <v>260.20650381603781</v>
      </c>
      <c r="L44" s="67">
        <f t="shared" si="2"/>
        <v>55.506503816037821</v>
      </c>
      <c r="M44" s="100">
        <f t="shared" si="3"/>
        <v>0.21331712698188399</v>
      </c>
    </row>
    <row r="45" spans="2:13" ht="19.5" customHeight="1" x14ac:dyDescent="0.3">
      <c r="B45" s="43">
        <v>40</v>
      </c>
      <c r="C45" s="41">
        <v>204.8</v>
      </c>
      <c r="D45" s="41">
        <v>21.8</v>
      </c>
      <c r="E45" s="41">
        <v>37.200000000000003</v>
      </c>
      <c r="F45" s="41">
        <v>80.7</v>
      </c>
      <c r="G45" s="41">
        <v>12.8</v>
      </c>
      <c r="H45" s="40">
        <v>161.30000000000001</v>
      </c>
      <c r="I45" s="41">
        <v>20.7</v>
      </c>
      <c r="J45" s="45">
        <v>0.60099999999999998</v>
      </c>
      <c r="K45" s="68">
        <f>'4.2c Modelo Final'!$C$7+'4.2c Modelo Final'!$C$8*D45+'4.2c Modelo Final'!$C$9*E45+'4.2c Modelo Final'!$C$10*I45</f>
        <v>256.33906225694176</v>
      </c>
      <c r="L45" s="67">
        <f t="shared" si="2"/>
        <v>51.539062256941747</v>
      </c>
      <c r="M45" s="100">
        <f t="shared" si="3"/>
        <v>0.20105816804963383</v>
      </c>
    </row>
    <row r="46" spans="2:13" ht="19.5" customHeight="1" x14ac:dyDescent="0.3">
      <c r="B46" s="42">
        <v>41</v>
      </c>
      <c r="C46" s="40">
        <v>202</v>
      </c>
      <c r="D46" s="40">
        <v>22.5</v>
      </c>
      <c r="E46" s="40">
        <v>38.299999999999997</v>
      </c>
      <c r="F46" s="40">
        <v>80</v>
      </c>
      <c r="G46" s="40">
        <v>11.9</v>
      </c>
      <c r="H46" s="40">
        <v>143.30000000000001</v>
      </c>
      <c r="I46" s="40">
        <v>20.100000000000001</v>
      </c>
      <c r="J46" s="44">
        <v>0.55300000000000005</v>
      </c>
      <c r="K46" s="68">
        <f>'4.2c Modelo Final'!$C$7+'4.2c Modelo Final'!$C$8*D46+'4.2c Modelo Final'!$C$9*E46+'4.2c Modelo Final'!$C$10*I46</f>
        <v>258.67388665751105</v>
      </c>
      <c r="L46" s="67">
        <f t="shared" si="2"/>
        <v>56.673886657511048</v>
      </c>
      <c r="M46" s="100">
        <f t="shared" si="3"/>
        <v>0.21909396185997046</v>
      </c>
    </row>
    <row r="47" spans="2:13" ht="19.5" customHeight="1" x14ac:dyDescent="0.3">
      <c r="B47" s="43">
        <v>42</v>
      </c>
      <c r="C47" s="41">
        <v>211.5</v>
      </c>
      <c r="D47" s="41">
        <v>25.1</v>
      </c>
      <c r="E47" s="41">
        <v>35.6</v>
      </c>
      <c r="F47" s="41">
        <v>83.4</v>
      </c>
      <c r="G47" s="41">
        <v>11.9</v>
      </c>
      <c r="H47" s="40">
        <v>161.6</v>
      </c>
      <c r="I47" s="41">
        <v>21.3</v>
      </c>
      <c r="J47" s="45">
        <v>0.60099999999999998</v>
      </c>
      <c r="K47" s="68">
        <f>'4.2c Modelo Final'!$C$7+'4.2c Modelo Final'!$C$8*D47+'4.2c Modelo Final'!$C$9*E47+'4.2c Modelo Final'!$C$10*I47</f>
        <v>263.7318093276657</v>
      </c>
      <c r="L47" s="67">
        <f t="shared" si="2"/>
        <v>52.231809327665701</v>
      </c>
      <c r="M47" s="100">
        <f t="shared" si="3"/>
        <v>0.19804895534149183</v>
      </c>
    </row>
    <row r="48" spans="2:13" ht="19.5" customHeight="1" x14ac:dyDescent="0.3">
      <c r="B48" s="42">
        <v>43</v>
      </c>
      <c r="C48" s="40">
        <v>217.9</v>
      </c>
      <c r="D48" s="40">
        <v>22.7</v>
      </c>
      <c r="E48" s="40">
        <v>43.4</v>
      </c>
      <c r="F48" s="40">
        <v>81.900000000000006</v>
      </c>
      <c r="G48" s="40">
        <v>11.5</v>
      </c>
      <c r="H48" s="40">
        <v>153.30000000000001</v>
      </c>
      <c r="I48" s="40">
        <v>22.1</v>
      </c>
      <c r="J48" s="44">
        <v>0.60699999999999998</v>
      </c>
      <c r="K48" s="68">
        <f>'4.2c Modelo Final'!$C$7+'4.2c Modelo Final'!$C$8*D48+'4.2c Modelo Final'!$C$9*E48+'4.2c Modelo Final'!$C$10*I48</f>
        <v>269.86833745058613</v>
      </c>
      <c r="L48" s="67">
        <f t="shared" si="2"/>
        <v>51.96833745058612</v>
      </c>
      <c r="M48" s="100">
        <f t="shared" si="3"/>
        <v>0.19256922817076202</v>
      </c>
    </row>
    <row r="49" spans="2:13" ht="19.5" customHeight="1" x14ac:dyDescent="0.3">
      <c r="B49" s="43">
        <v>44</v>
      </c>
      <c r="C49" s="41">
        <v>201.7</v>
      </c>
      <c r="D49" s="41">
        <v>20.399999999999999</v>
      </c>
      <c r="E49" s="41">
        <v>38.9</v>
      </c>
      <c r="F49" s="41">
        <v>89.3</v>
      </c>
      <c r="G49" s="41">
        <v>11.7</v>
      </c>
      <c r="H49" s="40">
        <v>143.80000000000001</v>
      </c>
      <c r="I49" s="41">
        <v>22.1</v>
      </c>
      <c r="J49" s="45">
        <v>0.56899999999999995</v>
      </c>
      <c r="K49" s="68">
        <f>'4.2c Modelo Final'!$C$7+'4.2c Modelo Final'!$C$8*D49+'4.2c Modelo Final'!$C$9*E49+'4.2c Modelo Final'!$C$10*I49</f>
        <v>257.51991612259081</v>
      </c>
      <c r="L49" s="67">
        <f t="shared" si="2"/>
        <v>55.819916122590826</v>
      </c>
      <c r="M49" s="100">
        <f t="shared" si="3"/>
        <v>0.2167596082006259</v>
      </c>
    </row>
    <row r="50" spans="2:13" ht="19.5" customHeight="1" x14ac:dyDescent="0.3">
      <c r="B50" s="42">
        <v>45</v>
      </c>
      <c r="C50" s="40">
        <v>210</v>
      </c>
      <c r="D50" s="40">
        <v>22.9</v>
      </c>
      <c r="E50" s="40">
        <v>39.1</v>
      </c>
      <c r="F50" s="40">
        <v>71.900000000000006</v>
      </c>
      <c r="G50" s="40">
        <v>12.1</v>
      </c>
      <c r="H50" s="40">
        <v>152.69999999999999</v>
      </c>
      <c r="I50" s="40">
        <v>24.6</v>
      </c>
      <c r="J50" s="44">
        <v>0.64700000000000002</v>
      </c>
      <c r="K50" s="68">
        <f>'4.2c Modelo Final'!$C$7+'4.2c Modelo Final'!$C$8*D50+'4.2c Modelo Final'!$C$9*E50+'4.2c Modelo Final'!$C$10*I50</f>
        <v>268.6687739826238</v>
      </c>
      <c r="L50" s="67">
        <f t="shared" si="2"/>
        <v>58.668773982623804</v>
      </c>
      <c r="M50" s="100">
        <f t="shared" si="3"/>
        <v>0.21836841369000409</v>
      </c>
    </row>
    <row r="51" spans="2:13" ht="19.5" customHeight="1" x14ac:dyDescent="0.3">
      <c r="B51" s="43">
        <v>46</v>
      </c>
      <c r="C51" s="41">
        <v>212.4</v>
      </c>
      <c r="D51" s="41">
        <v>20.100000000000001</v>
      </c>
      <c r="E51" s="41">
        <v>40.6</v>
      </c>
      <c r="F51" s="41">
        <v>87.6</v>
      </c>
      <c r="G51" s="41">
        <v>10.3</v>
      </c>
      <c r="H51" s="40">
        <v>155.30000000000001</v>
      </c>
      <c r="I51" s="41">
        <v>25.4</v>
      </c>
      <c r="J51" s="45">
        <v>0.66300000000000003</v>
      </c>
      <c r="K51" s="68">
        <f>'4.2c Modelo Final'!$C$7+'4.2c Modelo Final'!$C$8*D51+'4.2c Modelo Final'!$C$9*E51+'4.2c Modelo Final'!$C$10*I51</f>
        <v>264.8728206559166</v>
      </c>
      <c r="L51" s="67">
        <f t="shared" si="2"/>
        <v>52.472820655916593</v>
      </c>
      <c r="M51" s="100">
        <f t="shared" si="3"/>
        <v>0.19810571928813142</v>
      </c>
    </row>
    <row r="52" spans="2:13" ht="19.5" customHeight="1" x14ac:dyDescent="0.3">
      <c r="B52" s="42">
        <v>47</v>
      </c>
      <c r="C52" s="40">
        <v>208.2</v>
      </c>
      <c r="D52" s="40">
        <v>17.5</v>
      </c>
      <c r="E52" s="40">
        <v>40.299999999999997</v>
      </c>
      <c r="F52" s="40">
        <v>88.2</v>
      </c>
      <c r="G52" s="40">
        <v>10.6</v>
      </c>
      <c r="H52" s="40">
        <v>152.69999999999999</v>
      </c>
      <c r="I52" s="40">
        <v>26</v>
      </c>
      <c r="J52" s="44">
        <v>0.68700000000000006</v>
      </c>
      <c r="K52" s="68">
        <f>'4.2c Modelo Final'!$C$7+'4.2c Modelo Final'!$C$8*D52+'4.2c Modelo Final'!$C$9*E52+'4.2c Modelo Final'!$C$10*I52</f>
        <v>258.71107617186169</v>
      </c>
      <c r="L52" s="67">
        <f t="shared" si="2"/>
        <v>50.511076171861703</v>
      </c>
      <c r="M52" s="100">
        <f t="shared" si="3"/>
        <v>0.19524125877899101</v>
      </c>
    </row>
    <row r="53" spans="2:13" ht="19.5" customHeight="1" x14ac:dyDescent="0.3">
      <c r="B53" s="43">
        <v>48</v>
      </c>
      <c r="C53" s="41">
        <v>206.6</v>
      </c>
      <c r="D53" s="41">
        <v>19.5</v>
      </c>
      <c r="E53" s="41">
        <v>39.9</v>
      </c>
      <c r="F53" s="41">
        <v>74.3</v>
      </c>
      <c r="G53" s="41">
        <v>12.5</v>
      </c>
      <c r="H53" s="40">
        <v>136.19999999999999</v>
      </c>
      <c r="I53" s="41">
        <v>26.5</v>
      </c>
      <c r="J53" s="45">
        <v>0.69199999999999995</v>
      </c>
      <c r="K53" s="68">
        <f>'4.2c Modelo Final'!$C$7+'4.2c Modelo Final'!$C$8*D53+'4.2c Modelo Final'!$C$9*E53+'4.2c Modelo Final'!$C$10*I53</f>
        <v>264.23241454381099</v>
      </c>
      <c r="L53" s="67">
        <f t="shared" si="2"/>
        <v>57.632414543810995</v>
      </c>
      <c r="M53" s="100">
        <f t="shared" si="3"/>
        <v>0.21811258336079453</v>
      </c>
    </row>
    <row r="54" spans="2:13" ht="19.5" customHeight="1" x14ac:dyDescent="0.3">
      <c r="B54" s="42">
        <v>49</v>
      </c>
      <c r="C54" s="40">
        <v>202.5</v>
      </c>
      <c r="D54" s="40">
        <v>18.399999999999999</v>
      </c>
      <c r="E54" s="40">
        <v>38</v>
      </c>
      <c r="F54" s="40">
        <v>81.599999999999994</v>
      </c>
      <c r="G54" s="40">
        <v>12</v>
      </c>
      <c r="H54" s="40">
        <v>142.5</v>
      </c>
      <c r="I54" s="40">
        <v>26.2</v>
      </c>
      <c r="J54" s="44">
        <v>0.61</v>
      </c>
      <c r="K54" s="68">
        <f>'4.2c Modelo Final'!$C$7+'4.2c Modelo Final'!$C$8*D54+'4.2c Modelo Final'!$C$9*E54+'4.2c Modelo Final'!$C$10*I54</f>
        <v>258.16094042103555</v>
      </c>
      <c r="L54" s="67">
        <f t="shared" si="2"/>
        <v>55.660940421035548</v>
      </c>
      <c r="M54" s="100">
        <f t="shared" si="3"/>
        <v>0.21560558437019145</v>
      </c>
    </row>
    <row r="55" spans="2:13" ht="19.5" customHeight="1" x14ac:dyDescent="0.3">
      <c r="B55" s="43">
        <v>50</v>
      </c>
      <c r="C55" s="41">
        <v>213.4</v>
      </c>
      <c r="D55" s="41">
        <v>21.4</v>
      </c>
      <c r="E55" s="41">
        <v>40.700000000000003</v>
      </c>
      <c r="F55" s="41">
        <v>81.400000000000006</v>
      </c>
      <c r="G55" s="41">
        <v>11.6</v>
      </c>
      <c r="H55" s="40">
        <v>146.1</v>
      </c>
      <c r="I55" s="41">
        <v>27.7</v>
      </c>
      <c r="J55" s="45">
        <v>0.64200000000000002</v>
      </c>
      <c r="K55" s="68">
        <f>'4.2c Modelo Final'!$C$7+'4.2c Modelo Final'!$C$8*D55+'4.2c Modelo Final'!$C$9*E55+'4.2c Modelo Final'!$C$10*I55</f>
        <v>272.40298215645396</v>
      </c>
      <c r="L55" s="67">
        <f t="shared" si="2"/>
        <v>59.002982156453953</v>
      </c>
      <c r="M55" s="100">
        <f t="shared" si="3"/>
        <v>0.21660182164439645</v>
      </c>
    </row>
    <row r="56" spans="2:13" ht="19.5" customHeight="1" x14ac:dyDescent="0.3">
      <c r="B56" s="42">
        <v>51</v>
      </c>
      <c r="C56" s="40">
        <v>216.4</v>
      </c>
      <c r="D56" s="40">
        <v>22.5</v>
      </c>
      <c r="E56" s="40">
        <v>43.7</v>
      </c>
      <c r="F56" s="40">
        <v>77.099999999999994</v>
      </c>
      <c r="G56" s="40">
        <v>11.8</v>
      </c>
      <c r="H56" s="40">
        <v>147.4</v>
      </c>
      <c r="I56" s="40">
        <v>28.4</v>
      </c>
      <c r="J56" s="44">
        <v>0.69699999999999995</v>
      </c>
      <c r="K56" s="68">
        <f>'4.2c Modelo Final'!$C$7+'4.2c Modelo Final'!$C$8*D56+'4.2c Modelo Final'!$C$9*E56+'4.2c Modelo Final'!$C$10*I56</f>
        <v>280.72189423851535</v>
      </c>
      <c r="L56" s="67">
        <f t="shared" si="2"/>
        <v>64.321894238515341</v>
      </c>
      <c r="M56" s="100">
        <f t="shared" si="3"/>
        <v>0.22913030853184627</v>
      </c>
    </row>
    <row r="57" spans="2:13" ht="19.2" customHeight="1" x14ac:dyDescent="0.3">
      <c r="B57" s="49">
        <v>52</v>
      </c>
      <c r="C57" s="50">
        <v>223</v>
      </c>
      <c r="D57" s="50">
        <v>25.8</v>
      </c>
      <c r="E57" s="50">
        <v>42.6</v>
      </c>
      <c r="F57" s="50">
        <v>79.7</v>
      </c>
      <c r="G57" s="50">
        <v>12.1</v>
      </c>
      <c r="H57" s="101">
        <v>152.69999999999999</v>
      </c>
      <c r="I57" s="50">
        <v>28.4</v>
      </c>
      <c r="J57" s="51">
        <v>0.69699999999999995</v>
      </c>
      <c r="K57" s="102">
        <f>'4.2c Modelo Final'!$C$7+'4.2c Modelo Final'!$C$8*D57+'4.2c Modelo Final'!$C$9*E57+'4.2c Modelo Final'!$C$10*I57</f>
        <v>287.77709181131382</v>
      </c>
      <c r="L57" s="103">
        <f t="shared" si="2"/>
        <v>64.777091811313824</v>
      </c>
      <c r="M57" s="104">
        <f t="shared" si="3"/>
        <v>0.22509467798008773</v>
      </c>
    </row>
    <row r="58" spans="2:13" ht="19.2" customHeight="1" thickBot="1" x14ac:dyDescent="0.35"/>
    <row r="59" spans="2:13" x14ac:dyDescent="0.3">
      <c r="B59" s="79" t="s">
        <v>44</v>
      </c>
      <c r="C59" s="73">
        <f t="shared" ref="C59:I59" si="4">SUM(C6:C57)</f>
        <v>10735.800000000001</v>
      </c>
      <c r="D59" s="73">
        <f t="shared" si="4"/>
        <v>1178</v>
      </c>
      <c r="E59" s="73">
        <f t="shared" si="4"/>
        <v>1944.7</v>
      </c>
      <c r="F59" s="73">
        <f t="shared" si="4"/>
        <v>4277</v>
      </c>
      <c r="G59" s="73">
        <f t="shared" si="4"/>
        <v>612.90000000000009</v>
      </c>
      <c r="H59" s="73">
        <f t="shared" si="4"/>
        <v>7705.7000000000007</v>
      </c>
      <c r="I59" s="73">
        <f t="shared" si="4"/>
        <v>1168.0000000000005</v>
      </c>
      <c r="J59" s="74"/>
      <c r="K59" s="75">
        <f>SUM(K6:K57)</f>
        <v>13619.208695950732</v>
      </c>
      <c r="L59" s="75">
        <f>SUM(L6:L57)</f>
        <v>2883.4086959507326</v>
      </c>
      <c r="M59" s="242">
        <f>L59/K59</f>
        <v>0.21171631629435481</v>
      </c>
    </row>
    <row r="60" spans="2:13" ht="15" customHeight="1" thickBot="1" x14ac:dyDescent="0.35">
      <c r="B60" s="80" t="s">
        <v>45</v>
      </c>
      <c r="C60" s="76">
        <f t="shared" ref="C60:L60" si="5">AVERAGE(C6:C57)</f>
        <v>206.45769230769233</v>
      </c>
      <c r="D60" s="76">
        <f t="shared" si="5"/>
        <v>22.653846153846153</v>
      </c>
      <c r="E60" s="76">
        <f t="shared" si="5"/>
        <v>37.398076923076921</v>
      </c>
      <c r="F60" s="76">
        <f t="shared" si="5"/>
        <v>82.25</v>
      </c>
      <c r="G60" s="76">
        <f t="shared" si="5"/>
        <v>11.786538461538463</v>
      </c>
      <c r="H60" s="76">
        <f t="shared" si="5"/>
        <v>148.18653846153848</v>
      </c>
      <c r="I60" s="76">
        <f t="shared" si="5"/>
        <v>22.461538461538471</v>
      </c>
      <c r="J60" s="77">
        <f t="shared" si="5"/>
        <v>0.61351923076923065</v>
      </c>
      <c r="K60" s="78">
        <f t="shared" si="5"/>
        <v>261.90785953751407</v>
      </c>
      <c r="L60" s="78">
        <f t="shared" si="5"/>
        <v>55.45016722982178</v>
      </c>
      <c r="M60" s="243"/>
    </row>
    <row r="61" spans="2:13" x14ac:dyDescent="0.3">
      <c r="H61" s="5"/>
    </row>
  </sheetData>
  <mergeCells count="3">
    <mergeCell ref="B3:M3"/>
    <mergeCell ref="B2:M2"/>
    <mergeCell ref="M59:M6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30"/>
  <sheetViews>
    <sheetView showGridLines="0" zoomScaleNormal="100" workbookViewId="0">
      <selection activeCell="C23" sqref="C23"/>
    </sheetView>
  </sheetViews>
  <sheetFormatPr defaultColWidth="8.6640625" defaultRowHeight="14.4" x14ac:dyDescent="0.3"/>
  <cols>
    <col min="2" max="2" width="32.5546875" customWidth="1"/>
    <col min="3" max="8" width="16.109375" customWidth="1"/>
    <col min="9" max="9" width="16" customWidth="1"/>
    <col min="10" max="10" width="12" customWidth="1"/>
  </cols>
  <sheetData>
    <row r="1" spans="2:10" ht="15" customHeight="1" thickBot="1" x14ac:dyDescent="0.35"/>
    <row r="2" spans="2:10" ht="17.399999999999999" customHeight="1" x14ac:dyDescent="0.3">
      <c r="B2" s="237" t="s">
        <v>54</v>
      </c>
      <c r="C2" s="238"/>
      <c r="D2" s="238"/>
      <c r="E2" s="238"/>
      <c r="F2" s="238"/>
      <c r="G2" s="238"/>
      <c r="H2" s="238"/>
      <c r="I2" s="238"/>
      <c r="J2" s="239"/>
    </row>
    <row r="3" spans="2:10" ht="52.05" customHeight="1" thickBot="1" x14ac:dyDescent="0.35">
      <c r="B3" s="247" t="s">
        <v>55</v>
      </c>
      <c r="C3" s="235"/>
      <c r="D3" s="235"/>
      <c r="E3" s="235"/>
      <c r="F3" s="235"/>
      <c r="G3" s="235"/>
      <c r="H3" s="235"/>
      <c r="I3" s="235"/>
      <c r="J3" s="236"/>
    </row>
    <row r="5" spans="2:10" x14ac:dyDescent="0.3">
      <c r="B5" s="12"/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13" t="s">
        <v>63</v>
      </c>
    </row>
    <row r="6" spans="2:10" x14ac:dyDescent="0.3">
      <c r="B6" s="12" t="s">
        <v>56</v>
      </c>
      <c r="C6" s="6">
        <f>CORREL('Ano 0 - Linha de Base'!$C$6:$C$57,'Ano 0 - Linha de Base'!$C$6:$C$57)</f>
        <v>1</v>
      </c>
      <c r="D6" s="6">
        <f>CORREL('Ano 0 - Linha de Base'!$C$6:$C$57,'Ano 0 - Linha de Base'!$D$6:$D$57)</f>
        <v>0.55701780802828582</v>
      </c>
      <c r="E6" s="6">
        <f>CORREL('Ano 0 - Linha de Base'!$C$6:$C$57,'Ano 0 - Linha de Base'!$E$6:$E$57)</f>
        <v>0.57092577703702696</v>
      </c>
      <c r="F6" s="6">
        <f>CORREL('Ano 0 - Linha de Base'!$C$6:$C$57,'Ano 0 - Linha de Base'!$F$6:$F$57)</f>
        <v>0.20679524674379152</v>
      </c>
      <c r="G6" s="6">
        <f>CORREL('Ano 0 - Linha de Base'!$C$6:$C$57,'Ano 0 - Linha de Base'!$G$6:$G$57)</f>
        <v>0.13346194267102063</v>
      </c>
      <c r="H6" s="6">
        <f>CORREL('Ano 0 - Linha de Base'!$C$6:$C$57,'Ano 0 - Linha de Base'!$H$6:$H$57)</f>
        <v>0.39758432809143451</v>
      </c>
      <c r="I6" s="6">
        <f>CORREL('Ano 0 - Linha de Base'!$C$6:$C$57,'Ano 0 - Linha de Base'!$I$6:$I$57)</f>
        <v>0.85872083621117501</v>
      </c>
      <c r="J6" s="14">
        <f>CORREL('Ano 0 - Linha de Base'!$C$6:$C$57,'Ano 0 - Linha de Base'!$J$6:$J$57)</f>
        <v>0.77670247188198005</v>
      </c>
    </row>
    <row r="7" spans="2:10" x14ac:dyDescent="0.3">
      <c r="B7" s="12" t="s">
        <v>57</v>
      </c>
      <c r="C7" s="6">
        <f>CORREL('Ano 0 - Linha de Base'!$D$6:$D$57,'Ano 0 - Linha de Base'!$C$6:$C$57)</f>
        <v>0.55701780802828582</v>
      </c>
      <c r="D7" s="6">
        <f>CORREL('Ano 0 - Linha de Base'!$D$6:$D$57,'Ano 0 - Linha de Base'!$D$6:$D$57)</f>
        <v>1.0000000000000002</v>
      </c>
      <c r="E7" s="6">
        <f>CORREL('Ano 0 - Linha de Base'!$D$6:$D$57,'Ano 0 - Linha de Base'!$E$6:$E$57)</f>
        <v>-7.3621195593640665E-2</v>
      </c>
      <c r="F7" s="6">
        <f>CORREL('Ano 0 - Linha de Base'!$D$6:$D$57,'Ano 0 - Linha de Base'!$F$6:$F$57)</f>
        <v>5.0007445906495793E-3</v>
      </c>
      <c r="G7" s="6">
        <f>CORREL('Ano 0 - Linha de Base'!$D$6:$D$57,'Ano 0 - Linha de Base'!$G$6:$G$57)</f>
        <v>0.1783177722398826</v>
      </c>
      <c r="H7" s="6">
        <f>CORREL('Ano 0 - Linha de Base'!$D$6:$D$57,'Ano 0 - Linha de Base'!$H$6:$H$57)</f>
        <v>0.34587917990011313</v>
      </c>
      <c r="I7" s="6">
        <f>CORREL('Ano 0 - Linha de Base'!$D$6:$D$57,'Ano 0 - Linha de Base'!$I$6:$I$57)</f>
        <v>0.18259319272844243</v>
      </c>
      <c r="J7" s="14">
        <f>CORREL('Ano 0 - Linha de Base'!$D$6:$D$57,'Ano 0 - Linha de Base'!$J$6:$J$57)</f>
        <v>0.19771357454622399</v>
      </c>
    </row>
    <row r="8" spans="2:10" x14ac:dyDescent="0.3">
      <c r="B8" s="12" t="s">
        <v>58</v>
      </c>
      <c r="C8" s="6">
        <f>CORREL('Ano 0 - Linha de Base'!$E$6:$E$57,'Ano 0 - Linha de Base'!$C$6:$C$57)</f>
        <v>0.57092577703702696</v>
      </c>
      <c r="D8" s="6">
        <f>CORREL('Ano 0 - Linha de Base'!$E$6:$E$57,'Ano 0 - Linha de Base'!$D$6:$D$57)</f>
        <v>-7.3621195593640665E-2</v>
      </c>
      <c r="E8" s="6">
        <f>CORREL('Ano 0 - Linha de Base'!$E$6:$E$57,'Ano 0 - Linha de Base'!$E$6:$E$57)</f>
        <v>1</v>
      </c>
      <c r="F8" s="6">
        <f>CORREL('Ano 0 - Linha de Base'!$E$6:$E$57,'Ano 0 - Linha de Base'!$F$6:$F$57)</f>
        <v>3.3262427910829943E-2</v>
      </c>
      <c r="G8" s="6">
        <f>CORREL('Ano 0 - Linha de Base'!$E$6:$E$57,'Ano 0 - Linha de Base'!$G$6:$G$57)</f>
        <v>2.5224161381989893E-2</v>
      </c>
      <c r="H8" s="6">
        <f>CORREL('Ano 0 - Linha de Base'!$E$6:$E$57,'Ano 0 - Linha de Base'!$H$6:$H$57)</f>
        <v>-1.0527241755307943E-2</v>
      </c>
      <c r="I8" s="6">
        <f>CORREL('Ano 0 - Linha de Base'!$E$6:$E$57,'Ano 0 - Linha de Base'!$I$6:$I$57)</f>
        <v>0.53646053705739805</v>
      </c>
      <c r="J8" s="14">
        <f>CORREL('Ano 0 - Linha de Base'!$E$6:$E$57,'Ano 0 - Linha de Base'!$J$6:$J$57)</f>
        <v>0.42146533595854668</v>
      </c>
    </row>
    <row r="9" spans="2:10" x14ac:dyDescent="0.3">
      <c r="B9" s="12" t="s">
        <v>59</v>
      </c>
      <c r="C9" s="6">
        <f>CORREL('Ano 0 - Linha de Base'!$F$6:$F$57,'Ano 0 - Linha de Base'!$C$6:$C$57)</f>
        <v>0.20679524674379152</v>
      </c>
      <c r="D9" s="6">
        <f>CORREL('Ano 0 - Linha de Base'!$F$6:$F$57,'Ano 0 - Linha de Base'!$D$6:$D$57)</f>
        <v>5.0007445906495793E-3</v>
      </c>
      <c r="E9" s="6">
        <f>CORREL('Ano 0 - Linha de Base'!$F$6:$F$57,'Ano 0 - Linha de Base'!$E$6:$E$57)</f>
        <v>3.3262427910829943E-2</v>
      </c>
      <c r="F9" s="6">
        <f>CORREL('Ano 0 - Linha de Base'!$F$6:$F$57,'Ano 0 - Linha de Base'!$F$6:$F$57)</f>
        <v>1</v>
      </c>
      <c r="G9" s="6">
        <f>CORREL('Ano 0 - Linha de Base'!$F$6:$F$57,'Ano 0 - Linha de Base'!$G$6:$G$57)</f>
        <v>2.8794740186978578E-2</v>
      </c>
      <c r="H9" s="6">
        <f>CORREL('Ano 0 - Linha de Base'!$F$6:$F$57,'Ano 0 - Linha de Base'!$H$6:$H$57)</f>
        <v>8.7427276095902964E-2</v>
      </c>
      <c r="I9" s="6">
        <f>CORREL('Ano 0 - Linha de Base'!$F$6:$F$57,'Ano 0 - Linha de Base'!$I$6:$I$57)</f>
        <v>0.32238178348881757</v>
      </c>
      <c r="J9" s="14">
        <f>CORREL('Ano 0 - Linha de Base'!$F$6:$F$57,'Ano 0 - Linha de Base'!$J$6:$J$57)</f>
        <v>0.35209218298944217</v>
      </c>
    </row>
    <row r="10" spans="2:10" x14ac:dyDescent="0.3">
      <c r="B10" s="12" t="s">
        <v>60</v>
      </c>
      <c r="C10" s="6">
        <f>CORREL('Ano 0 - Linha de Base'!$G$6:$G$57,'Ano 0 - Linha de Base'!$C$6:$C$57)</f>
        <v>0.13346194267102063</v>
      </c>
      <c r="D10" s="6">
        <f>CORREL('Ano 0 - Linha de Base'!$G$6:$G$57,'Ano 0 - Linha de Base'!$D$6:$D$57)</f>
        <v>0.1783177722398826</v>
      </c>
      <c r="E10" s="6">
        <f>CORREL('Ano 0 - Linha de Base'!$G$6:$G$57,'Ano 0 - Linha de Base'!$E$6:$E$57)</f>
        <v>2.5224161381989893E-2</v>
      </c>
      <c r="F10" s="6">
        <f>CORREL('Ano 0 - Linha de Base'!$G$6:$G$57,'Ano 0 - Linha de Base'!$F$6:$F$57)</f>
        <v>2.8794740186978578E-2</v>
      </c>
      <c r="G10" s="6">
        <f>CORREL('Ano 0 - Linha de Base'!$G$6:$G$57,'Ano 0 - Linha de Base'!$G$6:$G$57)</f>
        <v>1.0000000000000002</v>
      </c>
      <c r="H10" s="6">
        <f>CORREL('Ano 0 - Linha de Base'!$G$6:$G$57,'Ano 0 - Linha de Base'!$H$6:$H$57)</f>
        <v>2.3927557426961177E-2</v>
      </c>
      <c r="I10" s="6">
        <f>CORREL('Ano 0 - Linha de Base'!$G$6:$G$57,'Ano 0 - Linha de Base'!$I$6:$I$57)</f>
        <v>4.3637997227488783E-2</v>
      </c>
      <c r="J10" s="14">
        <f>CORREL('Ano 0 - Linha de Base'!$G$6:$G$57,'Ano 0 - Linha de Base'!$J$6:$J$57)</f>
        <v>6.5028583809253901E-2</v>
      </c>
    </row>
    <row r="11" spans="2:10" x14ac:dyDescent="0.3">
      <c r="B11" s="12" t="s">
        <v>61</v>
      </c>
      <c r="C11" s="6">
        <f>CORREL('Ano 0 - Linha de Base'!$H$6:$H$57,'Ano 0 - Linha de Base'!$C$6:$C$57)</f>
        <v>0.39758432809143451</v>
      </c>
      <c r="D11" s="6">
        <f>CORREL('Ano 0 - Linha de Base'!$H$6:$H$57,'Ano 0 - Linha de Base'!$D$6:$D$57)</f>
        <v>0.34587917990011313</v>
      </c>
      <c r="E11" s="6">
        <f>CORREL('Ano 0 - Linha de Base'!$H$6:$H$57,'Ano 0 - Linha de Base'!$E$6:$E$57)</f>
        <v>-1.0527241755307943E-2</v>
      </c>
      <c r="F11" s="6">
        <f>CORREL('Ano 0 - Linha de Base'!$H$6:$H$57,'Ano 0 - Linha de Base'!$F$6:$F$57)</f>
        <v>8.7427276095902964E-2</v>
      </c>
      <c r="G11" s="6">
        <f>CORREL('Ano 0 - Linha de Base'!$H$6:$H$57,'Ano 0 - Linha de Base'!$G$6:$G$57)</f>
        <v>2.3927557426961177E-2</v>
      </c>
      <c r="H11" s="6">
        <f>CORREL('Ano 0 - Linha de Base'!$H$6:$H$57,'Ano 0 - Linha de Base'!$H$6:$H$57)</f>
        <v>1</v>
      </c>
      <c r="I11" s="6">
        <f>CORREL('Ano 0 - Linha de Base'!$H$6:$H$57,'Ano 0 - Linha de Base'!$I$6:$I$57)</f>
        <v>0.38487724066022477</v>
      </c>
      <c r="J11" s="14">
        <f>CORREL('Ano 0 - Linha de Base'!$H$6:$H$57,'Ano 0 - Linha de Base'!$J$6:$J$57)</f>
        <v>0.42115956415654371</v>
      </c>
    </row>
    <row r="12" spans="2:10" x14ac:dyDescent="0.3">
      <c r="B12" s="12" t="s">
        <v>62</v>
      </c>
      <c r="C12" s="6">
        <f>CORREL('Ano 0 - Linha de Base'!$I$6:$I$57,'Ano 0 - Linha de Base'!$C$6:$C$57)</f>
        <v>0.85872083621117501</v>
      </c>
      <c r="D12" s="6">
        <f>CORREL('Ano 0 - Linha de Base'!$I$6:$I$57,'Ano 0 - Linha de Base'!$D$6:$D$57)</f>
        <v>0.18259319272844243</v>
      </c>
      <c r="E12" s="6">
        <f>CORREL('Ano 0 - Linha de Base'!$I$6:$I$57,'Ano 0 - Linha de Base'!$E$6:$E$57)</f>
        <v>0.53646053705739805</v>
      </c>
      <c r="F12" s="6">
        <f>CORREL('Ano 0 - Linha de Base'!$I$6:$I$57,'Ano 0 - Linha de Base'!$F$6:$F$57)</f>
        <v>0.32238178348881757</v>
      </c>
      <c r="G12" s="6">
        <f>CORREL('Ano 0 - Linha de Base'!$I$6:$I$57,'Ano 0 - Linha de Base'!$G$6:$G$57)</f>
        <v>4.3637997227488783E-2</v>
      </c>
      <c r="H12" s="6">
        <f>CORREL('Ano 0 - Linha de Base'!$I$6:$I$57,'Ano 0 - Linha de Base'!$H$6:$H$57)</f>
        <v>0.38487724066022477</v>
      </c>
      <c r="I12" s="6">
        <f>CORREL('Ano 0 - Linha de Base'!$I$6:$I$57,'Ano 0 - Linha de Base'!$I$6:$I$57)</f>
        <v>0.99999999999999989</v>
      </c>
      <c r="J12" s="14">
        <f>CORREL('Ano 0 - Linha de Base'!$I$6:$I$57,'Ano 0 - Linha de Base'!$J$6:$J$57)</f>
        <v>0.92547247659249954</v>
      </c>
    </row>
    <row r="13" spans="2:10" x14ac:dyDescent="0.3">
      <c r="B13" s="12" t="s">
        <v>63</v>
      </c>
      <c r="C13" s="6">
        <f>CORREL('Ano 0 - Linha de Base'!$J$6:$J$57,'Ano 0 - Linha de Base'!$C$6:$C$57)</f>
        <v>0.77670247188198005</v>
      </c>
      <c r="D13" s="6">
        <f>CORREL('Ano 0 - Linha de Base'!$J$6:$J$57,'Ano 0 - Linha de Base'!$D$6:$D$57)</f>
        <v>0.19771357454622399</v>
      </c>
      <c r="E13" s="6">
        <f>CORREL('Ano 0 - Linha de Base'!$J$6:$J$57,'Ano 0 - Linha de Base'!$E$6:$E$57)</f>
        <v>0.42146533595854668</v>
      </c>
      <c r="F13" s="6">
        <f>CORREL('Ano 0 - Linha de Base'!$J$6:$J$57,'Ano 0 - Linha de Base'!$F$6:$F$57)</f>
        <v>0.35209218298944217</v>
      </c>
      <c r="G13" s="6">
        <f>CORREL('Ano 0 - Linha de Base'!$J$6:$J$57,'Ano 0 - Linha de Base'!$G$6:$G$57)</f>
        <v>6.5028583809253901E-2</v>
      </c>
      <c r="H13" s="6">
        <f>CORREL('Ano 0 - Linha de Base'!$J$6:$J$57,'Ano 0 - Linha de Base'!$H$6:$H$57)</f>
        <v>0.42115956415654371</v>
      </c>
      <c r="I13" s="6">
        <f>CORREL('Ano 0 - Linha de Base'!$J$6:$J$57,'Ano 0 - Linha de Base'!$I$6:$I$57)</f>
        <v>0.92547247659249954</v>
      </c>
      <c r="J13" s="14">
        <f>CORREL('Ano 0 - Linha de Base'!$J$6:$J$57,'Ano 0 - Linha de Base'!$J$6:$J$57)</f>
        <v>0.99999999999999989</v>
      </c>
    </row>
    <row r="14" spans="2:10" x14ac:dyDescent="0.3">
      <c r="B14" s="10"/>
      <c r="J14" s="11"/>
    </row>
    <row r="15" spans="2:10" x14ac:dyDescent="0.3">
      <c r="B15" s="244" t="s">
        <v>64</v>
      </c>
      <c r="C15" s="245"/>
      <c r="D15" s="245"/>
      <c r="E15" s="245"/>
      <c r="F15" s="245"/>
      <c r="G15" s="245"/>
      <c r="H15" s="245"/>
      <c r="I15" s="245"/>
      <c r="J15" s="246"/>
    </row>
    <row r="16" spans="2:10" ht="42" customHeight="1" x14ac:dyDescent="0.3">
      <c r="B16" s="12" t="s">
        <v>65</v>
      </c>
      <c r="C16" s="3" t="s">
        <v>66</v>
      </c>
      <c r="D16" s="3" t="s">
        <v>67</v>
      </c>
      <c r="E16" s="3" t="s">
        <v>68</v>
      </c>
      <c r="F16" s="3" t="s">
        <v>69</v>
      </c>
      <c r="G16" s="3" t="s">
        <v>70</v>
      </c>
      <c r="H16" s="3" t="s">
        <v>71</v>
      </c>
      <c r="I16" s="3" t="s">
        <v>72</v>
      </c>
      <c r="J16" s="3" t="s">
        <v>73</v>
      </c>
    </row>
    <row r="17" spans="2:10" x14ac:dyDescent="0.3">
      <c r="B17" s="16" t="s">
        <v>74</v>
      </c>
      <c r="C17" s="17">
        <f t="shared" ref="C17:C23" si="0">C7</f>
        <v>0.55701780802828582</v>
      </c>
      <c r="D17" s="17">
        <f t="shared" ref="D17:D23" si="1">C17^2</f>
        <v>0.3102688384606363</v>
      </c>
      <c r="E17" s="17">
        <f t="shared" ref="E17:E23" si="2">ABS(C17)</f>
        <v>0.55701780802828582</v>
      </c>
      <c r="F17" s="18">
        <f>C17*SQRT(COUNT('Ano 0 - Linha de Base'!$C$6:$C$57)-2)/SQRT(1-C17^2)</f>
        <v>4.7425744615417882</v>
      </c>
      <c r="G17" s="19">
        <f>TDIST(ABS(F17),COUNT('Ano 0 - Linha de Base'!$C$6:$C$57)-2,2)</f>
        <v>1.7965862042131378E-5</v>
      </c>
      <c r="H17" s="4" t="str">
        <f t="shared" ref="H17:H23" si="3">IF(E17&gt;=$I$26,"Forte",IF(E17&gt;=$I$27,"Moderada",IF(E17&gt;=$I$28,"Fraca","Muito fraca")))</f>
        <v>Moderada</v>
      </c>
      <c r="I17" s="4" t="str">
        <f t="shared" ref="I17:I23" si="4">IF(G17&lt;alfa,"Sim","Não")</f>
        <v>Sim</v>
      </c>
      <c r="J17" s="224">
        <f t="shared" ref="J17:J23" si="5">RANK(E17,$E$17:$E$23)</f>
        <v>4</v>
      </c>
    </row>
    <row r="18" spans="2:10" x14ac:dyDescent="0.3">
      <c r="B18" s="16" t="s">
        <v>75</v>
      </c>
      <c r="C18" s="17">
        <f t="shared" si="0"/>
        <v>0.57092577703702696</v>
      </c>
      <c r="D18" s="17">
        <f t="shared" si="1"/>
        <v>0.32595624288533304</v>
      </c>
      <c r="E18" s="17">
        <f t="shared" si="2"/>
        <v>0.57092577703702696</v>
      </c>
      <c r="F18" s="18">
        <f>C18*SQRT(COUNT('Ano 0 - Linha de Base'!$C$6:$C$57)-2)/SQRT(1-C18^2)</f>
        <v>4.9172309724232601</v>
      </c>
      <c r="G18" s="19">
        <f>TDIST(ABS(F18),COUNT('Ano 0 - Linha de Base'!$C$6:$C$57)-2,2)</f>
        <v>9.8863841420333276E-6</v>
      </c>
      <c r="H18" s="4" t="str">
        <f t="shared" si="3"/>
        <v>Moderada</v>
      </c>
      <c r="I18" s="4" t="str">
        <f t="shared" si="4"/>
        <v>Sim</v>
      </c>
      <c r="J18" s="224">
        <f t="shared" si="5"/>
        <v>3</v>
      </c>
    </row>
    <row r="19" spans="2:10" x14ac:dyDescent="0.3">
      <c r="B19" s="16" t="s">
        <v>76</v>
      </c>
      <c r="C19" s="17">
        <f t="shared" si="0"/>
        <v>0.20679524674379152</v>
      </c>
      <c r="D19" s="17">
        <f t="shared" si="1"/>
        <v>4.2764274075825615E-2</v>
      </c>
      <c r="E19" s="17">
        <f t="shared" si="2"/>
        <v>0.20679524674379152</v>
      </c>
      <c r="F19" s="18">
        <f>C19*SQRT(COUNT('Ano 0 - Linha de Base'!$C$6:$C$57)-2)/SQRT(1-C19^2)</f>
        <v>1.4945694640350466</v>
      </c>
      <c r="G19" s="19">
        <f>TDIST(ABS(F19),COUNT('Ano 0 - Linha de Base'!$C$6:$C$57)-2,2)</f>
        <v>0.14131169764137791</v>
      </c>
      <c r="H19" s="4" t="str">
        <f t="shared" si="3"/>
        <v>Muito fraca</v>
      </c>
      <c r="I19" s="4" t="str">
        <f t="shared" si="4"/>
        <v>Não</v>
      </c>
      <c r="J19" s="224">
        <f t="shared" si="5"/>
        <v>6</v>
      </c>
    </row>
    <row r="20" spans="2:10" x14ac:dyDescent="0.3">
      <c r="B20" s="16" t="s">
        <v>77</v>
      </c>
      <c r="C20" s="17">
        <f t="shared" si="0"/>
        <v>0.13346194267102063</v>
      </c>
      <c r="D20" s="17">
        <f t="shared" si="1"/>
        <v>1.7812090141522796E-2</v>
      </c>
      <c r="E20" s="17">
        <f t="shared" si="2"/>
        <v>0.13346194267102063</v>
      </c>
      <c r="F20" s="18">
        <f>C20*SQRT(COUNT('Ano 0 - Linha de Base'!$C$6:$C$57)-2)/SQRT(1-C20^2)</f>
        <v>0.95223721925153648</v>
      </c>
      <c r="G20" s="19">
        <f>TDIST(ABS(F20),COUNT('Ano 0 - Linha de Base'!$C$6:$C$57)-2,2)</f>
        <v>0.34555746622392414</v>
      </c>
      <c r="H20" s="4" t="str">
        <f t="shared" si="3"/>
        <v>Muito fraca</v>
      </c>
      <c r="I20" s="4" t="str">
        <f t="shared" si="4"/>
        <v>Não</v>
      </c>
      <c r="J20" s="224">
        <f t="shared" si="5"/>
        <v>7</v>
      </c>
    </row>
    <row r="21" spans="2:10" x14ac:dyDescent="0.3">
      <c r="B21" s="16" t="s">
        <v>78</v>
      </c>
      <c r="C21" s="17">
        <f t="shared" si="0"/>
        <v>0.39758432809143451</v>
      </c>
      <c r="D21" s="17">
        <f t="shared" si="1"/>
        <v>0.15807329794391745</v>
      </c>
      <c r="E21" s="17">
        <f t="shared" si="2"/>
        <v>0.39758432809143451</v>
      </c>
      <c r="F21" s="18">
        <f>C21*SQRT(COUNT('Ano 0 - Linha de Base'!$C$6:$C$57)-2)/SQRT(1-C21^2)</f>
        <v>3.0639178551068547</v>
      </c>
      <c r="G21" s="19">
        <f>TDIST(ABS(F21),COUNT('Ano 0 - Linha de Base'!$C$6:$C$57)-2,2)</f>
        <v>3.5150544647383963E-3</v>
      </c>
      <c r="H21" s="4" t="str">
        <f t="shared" si="3"/>
        <v>Fraca</v>
      </c>
      <c r="I21" s="4" t="str">
        <f t="shared" si="4"/>
        <v>Sim</v>
      </c>
      <c r="J21" s="224">
        <f t="shared" si="5"/>
        <v>5</v>
      </c>
    </row>
    <row r="22" spans="2:10" x14ac:dyDescent="0.3">
      <c r="B22" s="16" t="s">
        <v>79</v>
      </c>
      <c r="C22" s="17">
        <f t="shared" si="0"/>
        <v>0.85872083621117501</v>
      </c>
      <c r="D22" s="17">
        <f t="shared" si="1"/>
        <v>0.73740147454321969</v>
      </c>
      <c r="E22" s="17">
        <f t="shared" si="2"/>
        <v>0.85872083621117501</v>
      </c>
      <c r="F22" s="18">
        <f>C22*SQRT(COUNT('Ano 0 - Linha de Base'!$C$6:$C$57)-2)/SQRT(1-C22^2)</f>
        <v>11.849249972246486</v>
      </c>
      <c r="G22" s="19">
        <f>TDIST(ABS(F22),COUNT('Ano 0 - Linha de Base'!$C$6:$C$57)-2,2)</f>
        <v>3.9428642113498649E-16</v>
      </c>
      <c r="H22" s="4" t="str">
        <f t="shared" si="3"/>
        <v>Forte</v>
      </c>
      <c r="I22" s="4" t="str">
        <f t="shared" si="4"/>
        <v>Sim</v>
      </c>
      <c r="J22" s="224">
        <f t="shared" si="5"/>
        <v>1</v>
      </c>
    </row>
    <row r="23" spans="2:10" x14ac:dyDescent="0.3">
      <c r="B23" s="16" t="s">
        <v>80</v>
      </c>
      <c r="C23" s="17">
        <f t="shared" si="0"/>
        <v>0.77670247188198005</v>
      </c>
      <c r="D23" s="17">
        <f t="shared" si="1"/>
        <v>0.60326672982757801</v>
      </c>
      <c r="E23" s="17">
        <f t="shared" si="2"/>
        <v>0.77670247188198005</v>
      </c>
      <c r="F23" s="18">
        <f>C23*SQRT(COUNT('Ano 0 - Linha de Base'!$C$6:$C$57)-2)/SQRT(1-C23^2)</f>
        <v>8.7194758355971267</v>
      </c>
      <c r="G23" s="19">
        <f>TDIST(ABS(F23),COUNT('Ano 0 - Linha de Base'!$C$6:$C$57)-2,2)</f>
        <v>1.309661908197078E-11</v>
      </c>
      <c r="H23" s="4" t="str">
        <f t="shared" si="3"/>
        <v>Forte</v>
      </c>
      <c r="I23" s="4" t="str">
        <f t="shared" si="4"/>
        <v>Sim</v>
      </c>
      <c r="J23" s="224">
        <f t="shared" si="5"/>
        <v>2</v>
      </c>
    </row>
    <row r="24" spans="2:10" x14ac:dyDescent="0.3">
      <c r="B24" s="10"/>
      <c r="J24" s="11"/>
    </row>
    <row r="25" spans="2:10" x14ac:dyDescent="0.3">
      <c r="B25" s="15" t="s">
        <v>81</v>
      </c>
      <c r="J25" s="11"/>
    </row>
    <row r="26" spans="2:10" x14ac:dyDescent="0.3">
      <c r="B26" s="16" t="s">
        <v>82</v>
      </c>
      <c r="C26" s="7">
        <f>J12</f>
        <v>0.92547247659249954</v>
      </c>
      <c r="F26" s="248" t="s">
        <v>83</v>
      </c>
      <c r="G26" s="249"/>
      <c r="H26" s="250"/>
      <c r="I26" s="170">
        <v>0.7</v>
      </c>
      <c r="J26" s="11"/>
    </row>
    <row r="27" spans="2:10" x14ac:dyDescent="0.3">
      <c r="B27" s="16" t="s">
        <v>84</v>
      </c>
      <c r="C27" s="7">
        <f>C26^2</f>
        <v>0.85649930493025461</v>
      </c>
      <c r="F27" s="248" t="s">
        <v>85</v>
      </c>
      <c r="G27" s="249"/>
      <c r="H27" s="250"/>
      <c r="I27" s="170">
        <v>0.5</v>
      </c>
      <c r="J27" s="11"/>
    </row>
    <row r="28" spans="2:10" x14ac:dyDescent="0.3">
      <c r="B28" s="16" t="s">
        <v>86</v>
      </c>
      <c r="C28" s="8">
        <f>1/(1-C27)</f>
        <v>6.9686073611976012</v>
      </c>
      <c r="F28" s="248" t="s">
        <v>87</v>
      </c>
      <c r="G28" s="249"/>
      <c r="H28" s="250"/>
      <c r="I28" s="170">
        <v>0.3</v>
      </c>
      <c r="J28" s="11"/>
    </row>
    <row r="29" spans="2:10" x14ac:dyDescent="0.3">
      <c r="B29" s="16" t="s">
        <v>88</v>
      </c>
      <c r="C29" s="7">
        <f>TINV(alfa,COUNT('Ano 0 - Linha de Base'!$C$6:$C$57)-2)/SQRT(COUNT('Ano 0 - Linha de Base'!$C$6:$C$57)-2+TINV(alfa,COUNT('Ano 0 - Linha de Base'!$C$6:$C$57)-2)^2)</f>
        <v>0.27324348372243595</v>
      </c>
      <c r="J29" s="11"/>
    </row>
    <row r="30" spans="2:10" ht="60" customHeight="1" thickBot="1" x14ac:dyDescent="0.35">
      <c r="B30" s="251" t="str">
        <f>"Leitura: a variável mais correlacionada com EE é "&amp;INDEX($D$5:$J$5,MATCH(1,$J$17:$J$23,0))&amp;" (r = "&amp;FIXED(INDEX($C$17:$C$23,MATCH(1,$J$17:$J$23,0)),2,TRUE)&amp;")"&amp;", seguida por "&amp;INDEX($D$5:$J$5,MATCH(2,$J$17:$J$23,0))&amp;" (r = "&amp;FIXED(INDEX($C$17:$C$23,MATCH(2,$J$17:$J$23,0)),2,TRUE)&amp;")"&amp;", "&amp;INDEX($D$5:$J$5,MATCH(3,$J$17:$J$23,0))&amp;" (r = "&amp;FIXED(INDEX($C$17:$C$23,MATCH(3,$J$17:$J$23,0)),2,TRUE)&amp;")"&amp;" e "&amp;INDEX($D$5:$J$5,MATCH(4,$J$17:$J$23,0))&amp;" (r = "&amp;FIXED(INDEX($C$17:$C$23,MATCH(4,$J$17:$J$23,0)),2,TRUE)&amp;")"&amp;". Com n = "&amp;COUNT('Ano 0 - Linha de Base'!$C$6:$C$57)&amp;" semanas, |r| &gt; "&amp;FIXED($C$29,2,TRUE)&amp;" já é significativo ao nível α. Entre os regressores, Temp e UR têm r = "&amp;FIXED($C$26,2,TRUE)&amp;" (R² = "&amp;FIXED($C$27,2,TRUE)&amp;"): são redundantes e não devem entrar juntas no modelo."</f>
        <v>Leitura: a variável mais correlacionada com EE é Temp (r = 0,86), seguida por UR (r = 0,78), P2 (r = 0,57) e P1 (r = 0,56). Com n = 52 semanas, |r| &gt; 0,27 já é significativo ao nível α. Entre os regressores, Temp e UR têm r = 0,93 (R² = 0,86): são redundantes e não devem entrar juntas no modelo.</v>
      </c>
      <c r="C30" s="235"/>
      <c r="D30" s="235"/>
      <c r="E30" s="235"/>
      <c r="F30" s="235"/>
      <c r="G30" s="235"/>
      <c r="H30" s="235"/>
      <c r="I30" s="235"/>
      <c r="J30" s="236"/>
    </row>
  </sheetData>
  <mergeCells count="7">
    <mergeCell ref="B30:J30"/>
    <mergeCell ref="B2:J2"/>
    <mergeCell ref="B15:J15"/>
    <mergeCell ref="B3:J3"/>
    <mergeCell ref="F28:H28"/>
    <mergeCell ref="F27:H27"/>
    <mergeCell ref="F26:H26"/>
  </mergeCells>
  <conditionalFormatting sqref="C6:J13">
    <cfRule type="colorScale" priority="1">
      <colorScale>
        <cfvo type="num" val="-1"/>
        <cfvo type="num" val="0"/>
        <cfvo type="num" val="1"/>
        <color rgb="FF9DC3E6"/>
        <color rgb="FFFFFFFF"/>
        <color rgb="FFF4B183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5"/>
  <sheetViews>
    <sheetView showGridLines="0" zoomScaleNormal="100" workbookViewId="0">
      <selection activeCell="F17" sqref="F17"/>
    </sheetView>
  </sheetViews>
  <sheetFormatPr defaultColWidth="8.6640625" defaultRowHeight="14.4" x14ac:dyDescent="0.3"/>
  <cols>
    <col min="2" max="2" width="30" customWidth="1"/>
    <col min="3" max="3" width="10" customWidth="1"/>
    <col min="4" max="4" width="12" customWidth="1"/>
    <col min="5" max="6" width="14" customWidth="1"/>
    <col min="7" max="7" width="12" customWidth="1"/>
    <col min="8" max="8" width="13" customWidth="1"/>
    <col min="9" max="9" width="14" customWidth="1"/>
    <col min="10" max="10" width="22" customWidth="1"/>
    <col min="11" max="11" width="12" customWidth="1"/>
    <col min="12" max="12" width="16" customWidth="1"/>
    <col min="13" max="13" width="70" customWidth="1"/>
  </cols>
  <sheetData>
    <row r="1" spans="2:13" ht="15" customHeight="1" thickBot="1" x14ac:dyDescent="0.35"/>
    <row r="2" spans="2:13" ht="17.399999999999999" customHeight="1" x14ac:dyDescent="0.3">
      <c r="B2" s="237" t="s">
        <v>89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9"/>
    </row>
    <row r="3" spans="2:13" ht="48" customHeight="1" thickBot="1" x14ac:dyDescent="0.35">
      <c r="B3" s="255" t="s">
        <v>90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6"/>
    </row>
    <row r="4" spans="2:13" ht="15" customHeight="1" thickBot="1" x14ac:dyDescent="0.35"/>
    <row r="5" spans="2:13" ht="42" customHeight="1" x14ac:dyDescent="0.3">
      <c r="B5" s="86" t="s">
        <v>65</v>
      </c>
      <c r="C5" s="86" t="s">
        <v>91</v>
      </c>
      <c r="D5" s="86" t="s">
        <v>92</v>
      </c>
      <c r="E5" s="86" t="s">
        <v>93</v>
      </c>
      <c r="F5" s="86" t="s">
        <v>94</v>
      </c>
      <c r="G5" s="86" t="s">
        <v>95</v>
      </c>
      <c r="H5" s="86" t="s">
        <v>96</v>
      </c>
      <c r="I5" s="86" t="s">
        <v>97</v>
      </c>
      <c r="J5" s="86" t="s">
        <v>98</v>
      </c>
      <c r="K5" s="86" t="s">
        <v>99</v>
      </c>
      <c r="L5" s="86" t="s">
        <v>100</v>
      </c>
      <c r="M5" s="86" t="s">
        <v>101</v>
      </c>
    </row>
    <row r="6" spans="2:13" ht="61.95" customHeight="1" x14ac:dyDescent="0.3">
      <c r="B6" s="225" t="s">
        <v>74</v>
      </c>
      <c r="C6" s="226">
        <f>'4.1a Correlação'!C17</f>
        <v>0.55701780802828582</v>
      </c>
      <c r="D6" s="105" t="str">
        <f>'4.1a Correlação'!H17</f>
        <v>Moderada</v>
      </c>
      <c r="E6" s="105" t="str">
        <f>'4.1a Correlação'!I17</f>
        <v>Sim</v>
      </c>
      <c r="F6" s="226">
        <f>SUMPRODUCT(MAX(ABS('4.1a Correlação'!$D7:$J7)*(ABS('4.1a Correlação'!$D7:$J7)&lt;0.9999)))</f>
        <v>5.0007445906495793E-3</v>
      </c>
      <c r="G6" s="105" t="str">
        <f>INDEX('4.1a Correlação'!$D$5:$J$5,MATCH(F6,INDEX(ABS('4.1a Correlação'!$D7:$J7)*(ABS('4.1a Correlação'!$D7:$J7)&lt;0.9999),0),0))</f>
        <v>P3</v>
      </c>
      <c r="H6" s="106">
        <f>'4.2a Regressão Completa'!F8</f>
        <v>2.6289110238743701E-16</v>
      </c>
      <c r="I6" s="227" t="s">
        <v>102</v>
      </c>
      <c r="J6" s="105" t="str">
        <f>IF(AND(I6&lt;&gt;"Baixo",H6&lt;alfa),"Direto",IF(AND(E6="Sim",F6&gt;='4.1a Correlação'!$I$26),"Indireto (via "&amp;G6&amp;")","Sem efeito próprio"))</f>
        <v>Direto</v>
      </c>
      <c r="K6" s="105" t="str">
        <f t="shared" ref="K6:K12" si="0">IF(J6="Direto","Manter","Descartar")</f>
        <v>Manter</v>
      </c>
      <c r="L6" s="105" t="str">
        <f>IF(ISNUMBER(MATCH(INDEX('4.1a Correlação'!$D$5:$J$5,1),Aux_X!$T$6:$V$6,0)),"Sim","Não")</f>
        <v>Sim</v>
      </c>
      <c r="M6" s="228" t="s">
        <v>103</v>
      </c>
    </row>
    <row r="7" spans="2:13" ht="61.95" customHeight="1" x14ac:dyDescent="0.3">
      <c r="B7" s="225" t="s">
        <v>75</v>
      </c>
      <c r="C7" s="226">
        <f>'4.1a Correlação'!C18</f>
        <v>0.57092577703702696</v>
      </c>
      <c r="D7" s="105" t="str">
        <f>'4.1a Correlação'!H18</f>
        <v>Moderada</v>
      </c>
      <c r="E7" s="105" t="str">
        <f>'4.1a Correlação'!I18</f>
        <v>Sim</v>
      </c>
      <c r="F7" s="226">
        <f>SUMPRODUCT(MAX(ABS('4.1a Correlação'!$D8:$J8)*(ABS('4.1a Correlação'!$D8:$J8)&lt;0.9999)))</f>
        <v>3.3262427910829943E-2</v>
      </c>
      <c r="G7" s="105" t="str">
        <f>INDEX('4.1a Correlação'!$D$5:$J$5,MATCH(F7,INDEX(ABS('4.1a Correlação'!$D8:$J8)*(ABS('4.1a Correlação'!$D8:$J8)&lt;0.9999),0),0))</f>
        <v>P3</v>
      </c>
      <c r="H7" s="106">
        <f>'4.2a Regressão Completa'!F9</f>
        <v>3.0172275622055666E-7</v>
      </c>
      <c r="I7" s="227" t="s">
        <v>104</v>
      </c>
      <c r="J7" s="105" t="str">
        <f>IF(AND(I7&lt;&gt;"Baixo",H7&lt;alfa),"Direto",IF(AND(E7="Sim",F7&gt;='4.1a Correlação'!$I$26),"Indireto (via "&amp;G7&amp;")","Sem efeito próprio"))</f>
        <v>Direto</v>
      </c>
      <c r="K7" s="105" t="str">
        <f t="shared" si="0"/>
        <v>Manter</v>
      </c>
      <c r="L7" s="105" t="str">
        <f>IF(ISNUMBER(MATCH(INDEX('4.1a Correlação'!$D$5:$J$5,2),Aux_X!$T$6:$V$6,0)),"Sim","Não")</f>
        <v>Sim</v>
      </c>
      <c r="M7" s="228" t="s">
        <v>105</v>
      </c>
    </row>
    <row r="8" spans="2:13" ht="61.95" customHeight="1" x14ac:dyDescent="0.3">
      <c r="B8" s="225" t="s">
        <v>76</v>
      </c>
      <c r="C8" s="226">
        <f>'4.1a Correlação'!C19</f>
        <v>0.20679524674379152</v>
      </c>
      <c r="D8" s="105" t="str">
        <f>'4.1a Correlação'!H19</f>
        <v>Muito fraca</v>
      </c>
      <c r="E8" s="105" t="str">
        <f>'4.1a Correlação'!I19</f>
        <v>Não</v>
      </c>
      <c r="F8" s="226">
        <f>SUMPRODUCT(MAX(ABS('4.1a Correlação'!$D9:$J9)*(ABS('4.1a Correlação'!$D9:$J9)&lt;0.9999)))</f>
        <v>0</v>
      </c>
      <c r="G8" s="105" t="str">
        <f>INDEX('4.1a Correlação'!$D$5:$J$5,MATCH(F8,INDEX(ABS('4.1a Correlação'!$D9:$J9)*(ABS('4.1a Correlação'!$D9:$J9)&lt;0.9999),0),0))</f>
        <v>P3</v>
      </c>
      <c r="H8" s="106">
        <f>'4.2a Regressão Completa'!F10</f>
        <v>0.86830770284049141</v>
      </c>
      <c r="I8" s="227" t="s">
        <v>106</v>
      </c>
      <c r="J8" s="105" t="str">
        <f>IF(AND(I8&lt;&gt;"Baixo",H8&lt;alfa),"Direto",IF(AND(E8="Sim",F8&gt;='4.1a Correlação'!$I$26),"Indireto (via "&amp;G8&amp;")","Sem efeito próprio"))</f>
        <v>Sem efeito próprio</v>
      </c>
      <c r="K8" s="105" t="str">
        <f t="shared" si="0"/>
        <v>Descartar</v>
      </c>
      <c r="L8" s="105" t="str">
        <f>IF(ISNUMBER(MATCH(INDEX('4.1a Correlação'!$D$5:$J$5,3),Aux_X!$T$6:$V$6,0)),"Sim","Não")</f>
        <v>Não</v>
      </c>
      <c r="M8" s="228" t="s">
        <v>107</v>
      </c>
    </row>
    <row r="9" spans="2:13" ht="61.95" customHeight="1" x14ac:dyDescent="0.3">
      <c r="B9" s="225" t="s">
        <v>77</v>
      </c>
      <c r="C9" s="226">
        <f>'4.1a Correlação'!C20</f>
        <v>0.13346194267102063</v>
      </c>
      <c r="D9" s="105" t="str">
        <f>'4.1a Correlação'!H20</f>
        <v>Muito fraca</v>
      </c>
      <c r="E9" s="105" t="str">
        <f>'4.1a Correlação'!I20</f>
        <v>Não</v>
      </c>
      <c r="F9" s="226">
        <f>SUMPRODUCT(MAX(ABS('4.1a Correlação'!$D10:$J10)*(ABS('4.1a Correlação'!$D10:$J10)&lt;0.9999)))</f>
        <v>2.8794740186978578E-2</v>
      </c>
      <c r="G9" s="105" t="str">
        <f>INDEX('4.1a Correlação'!$D$5:$J$5,MATCH(F9,INDEX(ABS('4.1a Correlação'!$D10:$J10)*(ABS('4.1a Correlação'!$D10:$J10)&lt;0.9999),0),0))</f>
        <v>P3</v>
      </c>
      <c r="H9" s="106">
        <f>'4.2a Regressão Completa'!F11</f>
        <v>0.55707549689979019</v>
      </c>
      <c r="I9" s="227" t="s">
        <v>106</v>
      </c>
      <c r="J9" s="105" t="str">
        <f>IF(AND(I9&lt;&gt;"Baixo",H9&lt;alfa),"Direto",IF(AND(E9="Sim",F9&gt;='4.1a Correlação'!$I$26),"Indireto (via "&amp;G9&amp;")","Sem efeito próprio"))</f>
        <v>Sem efeito próprio</v>
      </c>
      <c r="K9" s="105" t="str">
        <f t="shared" si="0"/>
        <v>Descartar</v>
      </c>
      <c r="L9" s="105" t="str">
        <f>IF(ISNUMBER(MATCH(INDEX('4.1a Correlação'!$D$5:$J$5,4),Aux_X!$T$6:$V$6,0)),"Sim","Não")</f>
        <v>Não</v>
      </c>
      <c r="M9" s="228" t="s">
        <v>108</v>
      </c>
    </row>
    <row r="10" spans="2:13" ht="61.95" customHeight="1" x14ac:dyDescent="0.3">
      <c r="B10" s="225" t="s">
        <v>78</v>
      </c>
      <c r="C10" s="226">
        <f>'4.1a Correlação'!C21</f>
        <v>0.39758432809143451</v>
      </c>
      <c r="D10" s="105" t="str">
        <f>'4.1a Correlação'!H21</f>
        <v>Fraca</v>
      </c>
      <c r="E10" s="105" t="str">
        <f>'4.1a Correlação'!I21</f>
        <v>Sim</v>
      </c>
      <c r="F10" s="226">
        <f>SUMPRODUCT(MAX(ABS('4.1a Correlação'!$D11:$J11)*(ABS('4.1a Correlação'!$D11:$J11)&lt;0.9999)))</f>
        <v>8.7427276095902964E-2</v>
      </c>
      <c r="G10" s="105" t="str">
        <f>INDEX('4.1a Correlação'!$D$5:$J$5,MATCH(F10,INDEX(ABS('4.1a Correlação'!$D11:$J11)*(ABS('4.1a Correlação'!$D11:$J11)&lt;0.9999),0),0))</f>
        <v>P3</v>
      </c>
      <c r="H10" s="106">
        <f>'4.2a Regressão Completa'!F12</f>
        <v>0.96155180409073182</v>
      </c>
      <c r="I10" s="227" t="s">
        <v>106</v>
      </c>
      <c r="J10" s="105" t="str">
        <f>IF(AND(I10&lt;&gt;"Baixo",H10&lt;alfa),"Direto",IF(AND(E10="Sim",F10&gt;='4.1a Correlação'!$I$26),"Indireto (via "&amp;G10&amp;")","Sem efeito próprio"))</f>
        <v>Sem efeito próprio</v>
      </c>
      <c r="K10" s="105" t="str">
        <f t="shared" si="0"/>
        <v>Descartar</v>
      </c>
      <c r="L10" s="105" t="str">
        <f>IF(ISNUMBER(MATCH(INDEX('4.1a Correlação'!$D$5:$J$5,5),Aux_X!$T$6:$V$6,0)),"Sim","Não")</f>
        <v>Não</v>
      </c>
      <c r="M10" s="228" t="s">
        <v>109</v>
      </c>
    </row>
    <row r="11" spans="2:13" ht="61.95" customHeight="1" x14ac:dyDescent="0.3">
      <c r="B11" s="225" t="s">
        <v>79</v>
      </c>
      <c r="C11" s="226">
        <f>'4.1a Correlação'!C22</f>
        <v>0.85872083621117501</v>
      </c>
      <c r="D11" s="105" t="str">
        <f>'4.1a Correlação'!H22</f>
        <v>Forte</v>
      </c>
      <c r="E11" s="105" t="str">
        <f>'4.1a Correlação'!I22</f>
        <v>Sim</v>
      </c>
      <c r="F11" s="226">
        <f>SUMPRODUCT(MAX(ABS('4.1a Correlação'!$D12:$J12)*(ABS('4.1a Correlação'!$D12:$J12)&lt;0.9999)))</f>
        <v>0.32238178348881757</v>
      </c>
      <c r="G11" s="105" t="str">
        <f>INDEX('4.1a Correlação'!$D$5:$J$5,MATCH(F11,INDEX(ABS('4.1a Correlação'!$D12:$J12)*(ABS('4.1a Correlação'!$D12:$J12)&lt;0.9999),0),0))</f>
        <v>P3</v>
      </c>
      <c r="H11" s="106">
        <f>'4.2a Regressão Completa'!F13</f>
        <v>2.7719659027662072E-9</v>
      </c>
      <c r="I11" s="227" t="s">
        <v>102</v>
      </c>
      <c r="J11" s="105" t="str">
        <f>IF(AND(I11&lt;&gt;"Baixo",H11&lt;alfa),"Direto",IF(AND(E11="Sim",F11&gt;='4.1a Correlação'!$I$26),"Indireto (via "&amp;G11&amp;")","Sem efeito próprio"))</f>
        <v>Direto</v>
      </c>
      <c r="K11" s="105" t="str">
        <f t="shared" si="0"/>
        <v>Manter</v>
      </c>
      <c r="L11" s="105" t="str">
        <f>IF(ISNUMBER(MATCH(INDEX('4.1a Correlação'!$D$5:$J$5,6),Aux_X!$T$6:$V$6,0)),"Sim","Não")</f>
        <v>Sim</v>
      </c>
      <c r="M11" s="228" t="s">
        <v>110</v>
      </c>
    </row>
    <row r="12" spans="2:13" ht="61.95" customHeight="1" thickBot="1" x14ac:dyDescent="0.35">
      <c r="B12" s="225" t="s">
        <v>80</v>
      </c>
      <c r="C12" s="226">
        <f>'4.1a Correlação'!C23</f>
        <v>0.77670247188198005</v>
      </c>
      <c r="D12" s="105" t="str">
        <f>'4.1a Correlação'!H23</f>
        <v>Forte</v>
      </c>
      <c r="E12" s="105" t="str">
        <f>'4.1a Correlação'!I23</f>
        <v>Sim</v>
      </c>
      <c r="F12" s="226">
        <f>SUMPRODUCT(MAX(ABS('4.1a Correlação'!$D13:$J13)*(ABS('4.1a Correlação'!$D13:$J13)&lt;0.9999)))</f>
        <v>0.35209218298944217</v>
      </c>
      <c r="G12" s="105" t="str">
        <f>INDEX('4.1a Correlação'!$D$5:$J$5,MATCH(F12,INDEX(ABS('4.1a Correlação'!$D13:$J13)*(ABS('4.1a Correlação'!$D13:$J13)&lt;0.9999),0),0))</f>
        <v>P3</v>
      </c>
      <c r="H12" s="106">
        <f>'4.2a Regressão Completa'!F14</f>
        <v>0.35017046802183294</v>
      </c>
      <c r="I12" s="227" t="s">
        <v>104</v>
      </c>
      <c r="J12" s="105" t="str">
        <f>IF(AND(I12&lt;&gt;"Baixo",H12&lt;alfa),"Direto",IF(AND(E12="Sim",F12&gt;='4.1a Correlação'!$I$26),"Indireto (via "&amp;G12&amp;")","Sem efeito próprio"))</f>
        <v>Sem efeito próprio</v>
      </c>
      <c r="K12" s="105" t="str">
        <f t="shared" si="0"/>
        <v>Descartar</v>
      </c>
      <c r="L12" s="105" t="str">
        <f>IF(ISNUMBER(MATCH(INDEX('4.1a Correlação'!$D$5:$J$5,7),Aux_X!$T$6:$V$6,0)),"Sim","Não")</f>
        <v>Não</v>
      </c>
      <c r="M12" s="228" t="s">
        <v>111</v>
      </c>
    </row>
    <row r="14" spans="2:13" ht="48" customHeight="1" x14ac:dyDescent="0.3">
      <c r="B14" s="252" t="str">
        <f>"Conclusão: impacto direto relevante em "&amp;LEFT(IF(J6="Direto",LEFT(B6,FIND(" ",B6&amp;" ")-1)&amp;", ","")&amp;IF(J7="Direto",LEFT(B7,FIND(" ",B7&amp;" ")-1)&amp;", ","")&amp;IF(J8="Direto",LEFT(B8,FIND(" ",B8&amp;" ")-1)&amp;", ","")&amp;IF(J9="Direto",LEFT(B9,FIND(" ",B9&amp;" ")-1)&amp;", ","")&amp;IF(J10="Direto",LEFT(B10,FIND(" ",B10&amp;" ")-1)&amp;", ","")&amp;IF(J11="Direto",LEFT(B11,FIND(" ",B11&amp;" ")-1)&amp;", ","")&amp;IF(J12="Direto",LEFT(B12,FIND(" ",B12&amp;" ")-1)&amp;", ",""),LEN(IF(J6="Direto",LEFT(B6,FIND(" ",B6&amp;" ")-1)&amp;", ","")&amp;IF(J7="Direto",LEFT(B7,FIND(" ",B7&amp;" ")-1)&amp;", ","")&amp;IF(J8="Direto",LEFT(B8,FIND(" ",B8&amp;" ")-1)&amp;", ","")&amp;IF(J9="Direto",LEFT(B9,FIND(" ",B9&amp;" ")-1)&amp;", ","")&amp;IF(J10="Direto",LEFT(B10,FIND(" ",B10&amp;" ")-1)&amp;", ","")&amp;IF(J11="Direto",LEFT(B11,FIND(" ",B11&amp;" ")-1)&amp;", ","")&amp;IF(J12="Direto",LEFT(B12,FIND(" ",B12&amp;" ")-1)&amp;", ",""))-2)&amp;"."&amp;" Indiretas: "&amp;COUNTIF(J6:J12,"Indireto*")&amp;" variável(is) (acompanham outra, sem efeito parcial). Sem efeito próprio: "&amp;COUNTIF(J6:J12,"Sem efeito próprio")&amp;" variável(is). "&amp;"Coerência com a eliminação regressiva (4.2b): "&amp;IF(SUMPRODUCT((K6:K12="Manter")*(L6:L12="Não"))+SUMPRODUCT((K6:K12="Descartar")*(L6:L12="Sim"))=0,"todas as decisões conferem.","há divergência: revisar.")</f>
        <v>Conclusão: impacto direto relevante em P1, P2, Temp. Indiretas: 0 variável(is) (acompanham outra, sem efeito parcial). Sem efeito próprio: 4 variável(is). Coerência com a eliminação regressiva (4.2b): todas as decisões conferem.</v>
      </c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4"/>
    </row>
    <row r="15" spans="2:13" x14ac:dyDescent="0.3">
      <c r="B15" s="252" t="s">
        <v>112</v>
      </c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4"/>
    </row>
  </sheetData>
  <mergeCells count="4">
    <mergeCell ref="B14:M14"/>
    <mergeCell ref="B2:M2"/>
    <mergeCell ref="B15:M15"/>
    <mergeCell ref="B3:M3"/>
  </mergeCells>
  <conditionalFormatting sqref="J6:J12">
    <cfRule type="expression" dxfId="3" priority="3">
      <formula>J6="Direto"</formula>
    </cfRule>
    <cfRule type="expression" dxfId="2" priority="4">
      <formula>LEFT(J6,8)="Indireto"</formula>
    </cfRule>
  </conditionalFormatting>
  <conditionalFormatting sqref="K6:K12">
    <cfRule type="expression" dxfId="1" priority="1">
      <formula>K6="Manter"</formula>
    </cfRule>
    <cfRule type="expression" dxfId="0" priority="2">
      <formula>K6="Descartar"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8"/>
  <sheetViews>
    <sheetView showGridLines="0" zoomScaleNormal="100" workbookViewId="0">
      <selection activeCell="H12" sqref="H12"/>
    </sheetView>
  </sheetViews>
  <sheetFormatPr defaultColWidth="8.6640625" defaultRowHeight="14.4" x14ac:dyDescent="0.3"/>
  <cols>
    <col min="2" max="2" width="44" customWidth="1"/>
    <col min="3" max="4" width="16" customWidth="1"/>
    <col min="5" max="5" width="50" customWidth="1"/>
  </cols>
  <sheetData>
    <row r="1" spans="2:5" ht="15" customHeight="1" thickBot="1" x14ac:dyDescent="0.35"/>
    <row r="2" spans="2:5" ht="17.399999999999999" customHeight="1" x14ac:dyDescent="0.3">
      <c r="B2" s="237" t="s">
        <v>113</v>
      </c>
      <c r="C2" s="238"/>
      <c r="D2" s="238"/>
      <c r="E2" s="239"/>
    </row>
    <row r="3" spans="2:5" ht="15" customHeight="1" thickBot="1" x14ac:dyDescent="0.35">
      <c r="B3" s="258" t="s">
        <v>114</v>
      </c>
      <c r="C3" s="235"/>
      <c r="D3" s="235"/>
      <c r="E3" s="236"/>
    </row>
    <row r="4" spans="2:5" ht="15" customHeight="1" thickBot="1" x14ac:dyDescent="0.35"/>
    <row r="5" spans="2:5" x14ac:dyDescent="0.3">
      <c r="B5" s="86" t="s">
        <v>115</v>
      </c>
      <c r="C5" s="87" t="s">
        <v>116</v>
      </c>
      <c r="D5" s="87" t="s">
        <v>117</v>
      </c>
      <c r="E5" s="88" t="s">
        <v>118</v>
      </c>
    </row>
    <row r="6" spans="2:5" ht="31.5" customHeight="1" x14ac:dyDescent="0.3">
      <c r="B6" s="112" t="s">
        <v>119</v>
      </c>
      <c r="C6" s="110">
        <f>COUNT('Ano 0 - Linha de Base'!$C$6:$C$57)</f>
        <v>52</v>
      </c>
      <c r="D6" s="110">
        <f>COUNT('Ano 0 - Linha de Base'!$C$6:$C$57)</f>
        <v>52</v>
      </c>
      <c r="E6" s="107" t="s">
        <v>120</v>
      </c>
    </row>
    <row r="7" spans="2:5" ht="31.5" customHeight="1" x14ac:dyDescent="0.3">
      <c r="B7" s="112" t="s">
        <v>121</v>
      </c>
      <c r="C7" s="110">
        <f>COUNTA('4.2a Regressão Completa'!B8:B14)</f>
        <v>7</v>
      </c>
      <c r="D7" s="110">
        <f>COUNTA('4.2c Modelo Final'!B8:B10)</f>
        <v>3</v>
      </c>
      <c r="E7" s="107" t="s">
        <v>122</v>
      </c>
    </row>
    <row r="8" spans="2:5" ht="31.5" customHeight="1" x14ac:dyDescent="0.3">
      <c r="B8" s="112" t="s">
        <v>123</v>
      </c>
      <c r="C8" s="110">
        <f>'4.2a Regressão Completa'!C21</f>
        <v>44</v>
      </c>
      <c r="D8" s="110">
        <f>'4.2c Modelo Final'!C17</f>
        <v>48</v>
      </c>
      <c r="E8" s="107" t="s">
        <v>124</v>
      </c>
    </row>
    <row r="9" spans="2:5" ht="31.5" customHeight="1" x14ac:dyDescent="0.3">
      <c r="B9" s="112" t="s">
        <v>125</v>
      </c>
      <c r="C9" s="111">
        <f>C6/(C7+1)</f>
        <v>6.5</v>
      </c>
      <c r="D9" s="111">
        <f>D6/(D7+1)</f>
        <v>13</v>
      </c>
      <c r="E9" s="107" t="s">
        <v>126</v>
      </c>
    </row>
    <row r="10" spans="2:5" ht="31.5" customHeight="1" x14ac:dyDescent="0.3">
      <c r="B10" s="112" t="s">
        <v>127</v>
      </c>
      <c r="C10" s="106">
        <f>'4.2a Regressão Completa'!C17</f>
        <v>0.95266178298942716</v>
      </c>
      <c r="D10" s="106">
        <f>'4.2c Modelo Final'!C13</f>
        <v>0.95131220608007305</v>
      </c>
      <c r="E10" s="107" t="s">
        <v>128</v>
      </c>
    </row>
    <row r="11" spans="2:5" ht="31.5" customHeight="1" x14ac:dyDescent="0.3">
      <c r="B11" s="112" t="s">
        <v>19</v>
      </c>
      <c r="C11" s="106">
        <f>'4.2a Regressão Completa'!C18</f>
        <v>0.94513070301047242</v>
      </c>
      <c r="D11" s="106">
        <f>'4.2c Modelo Final'!C14</f>
        <v>0.94826921896007765</v>
      </c>
      <c r="E11" s="107" t="s">
        <v>129</v>
      </c>
    </row>
    <row r="12" spans="2:5" ht="31.5" customHeight="1" x14ac:dyDescent="0.3">
      <c r="B12" s="112" t="s">
        <v>130</v>
      </c>
      <c r="C12" s="105">
        <f>'4.2a Regressão Completa'!C19</f>
        <v>3.5591938418683644</v>
      </c>
      <c r="D12" s="105">
        <f>'4.2c Modelo Final'!C15</f>
        <v>3.4559023388452563</v>
      </c>
      <c r="E12" s="107" t="s">
        <v>131</v>
      </c>
    </row>
    <row r="13" spans="2:5" ht="31.5" customHeight="1" x14ac:dyDescent="0.3">
      <c r="B13" s="112" t="s">
        <v>132</v>
      </c>
      <c r="C13" s="105">
        <f>MAX('4.2a Regressão Completa'!F8:F14)</f>
        <v>0.96155180409073182</v>
      </c>
      <c r="D13" s="105">
        <f>MAX('4.2c Modelo Final'!F8:F10)</f>
        <v>1.0688157940730916E-8</v>
      </c>
      <c r="E13" s="107" t="s">
        <v>133</v>
      </c>
    </row>
    <row r="14" spans="2:5" ht="31.5" customHeight="1" x14ac:dyDescent="0.3">
      <c r="B14" s="112" t="s">
        <v>134</v>
      </c>
      <c r="C14" s="106">
        <f>'4.2a Regressão Completa'!D13</f>
        <v>0.26612698201005114</v>
      </c>
      <c r="D14" s="106">
        <f>'4.2c Modelo Final'!D10</f>
        <v>0.10764499341280973</v>
      </c>
      <c r="E14" s="107" t="s">
        <v>135</v>
      </c>
    </row>
    <row r="15" spans="2:5" ht="31.5" customHeight="1" thickBot="1" x14ac:dyDescent="0.35">
      <c r="B15" s="113" t="s">
        <v>136</v>
      </c>
      <c r="C15" s="108">
        <f>'4.2a Regressão Completa'!D14</f>
        <v>18.121880229938871</v>
      </c>
      <c r="D15" s="108" t="s">
        <v>137</v>
      </c>
      <c r="E15" s="109" t="str">
        <f>IF(C15&gt;ABS('4.2a Regressão Completa'!C14),"O erro-padrão de UR é maior que o módulo do próprio coeficiente (|t| &lt; 1).","O erro-padrão de UR é menor que o módulo do coeficiente.")</f>
        <v>O erro-padrão de UR é maior que o módulo do próprio coeficiente (|t| &lt; 1).</v>
      </c>
    </row>
    <row r="18" spans="2:5" ht="169.5" customHeight="1" x14ac:dyDescent="0.3">
      <c r="B18" s="256" t="str">
        <f>"Resposta: o Princípio da Parsimônia diz que, entre modelos com desempenho equivalente, deve-se preferir o mais simples. Incluir as "&amp;C7&amp;" variáveis sem critério (i) consome graus de liberdade (de "&amp;D8&amp;" para "&amp;C8&amp;") e reduz as observações por parâmetro de "&amp;FIXED(D9,1,TRUE)&amp;" para "&amp;FIXED(C9,1,TRUE)&amp;", alargando os intervalos de confiança e aumentando a incerteza da economia reportada em M&amp;V; (ii) provoca sobreajuste: o R² sobe ("&amp;FIXED(C10,4,TRUE)&amp;" contra "&amp;FIXED(D10,4,TRUE)&amp;"), mas o R² ajustado cai ("&amp;FIXED(C11,4,TRUE)&amp;" contra "&amp;FIXED(D11,4,TRUE)&amp;"); (iii) introduz multicolinearidade (Temp × UR, r = "&amp;FIXED('4.1a Correlação'!C26,2,TRUE)&amp;"): o erro-padrão do coeficiente de Temp vai de "&amp;FIXED(D14,3,TRUE)&amp;" para "&amp;FIXED(C14,3,TRUE)&amp;" e o coeficiente da UR sai com sinal contrário à física; (iv) dificulta a auditoria da distribuidora e da ANEEL, pois o modelo perde interpretabilidade e um erro de medição em variável irrelevante contamina a linha de base."</f>
        <v>Resposta: o Princípio da Parsimônia diz que, entre modelos com desempenho equivalente, deve-se preferir o mais simples. Incluir as 7 variáveis sem critério (i) consome graus de liberdade (de 48 para 44) e reduz as observações por parâmetro de 13,0 para 6,5, alargando os intervalos de confiança e aumentando a incerteza da economia reportada em M&amp;V; (ii) provoca sobreajuste: o R² sobe (0,9527 contra 0,9513), mas o R² ajustado cai (0,9451 contra 0,9483); (iii) introduz multicolinearidade (Temp × UR, r = 0,93): o erro-padrão do coeficiente de Temp vai de 0,108 para 0,266 e o coeficiente da UR sai com sinal contrário à física; (iv) dificulta a auditoria da distribuidora e da ANEEL, pois o modelo perde interpretabilidade e um erro de medição em variável irrelevante contamina a linha de base.</v>
      </c>
      <c r="C18" s="257"/>
      <c r="D18" s="257"/>
      <c r="E18" s="257"/>
    </row>
  </sheetData>
  <mergeCells count="3">
    <mergeCell ref="B18:E18"/>
    <mergeCell ref="B3:E3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8"/>
  <sheetViews>
    <sheetView showGridLines="0" workbookViewId="0"/>
  </sheetViews>
  <sheetFormatPr defaultRowHeight="14.4" x14ac:dyDescent="0.3"/>
  <cols>
    <col min="1" max="1" width="2.6640625" customWidth="1"/>
    <col min="2" max="2" width="44" customWidth="1"/>
    <col min="3" max="3" width="16" customWidth="1"/>
    <col min="4" max="4" width="14" customWidth="1"/>
    <col min="5" max="6" width="12" customWidth="1"/>
    <col min="7" max="8" width="13" customWidth="1"/>
    <col min="9" max="9" width="20" customWidth="1"/>
  </cols>
  <sheetData>
    <row r="2" spans="2:9" ht="17.399999999999999" x14ac:dyDescent="0.3">
      <c r="B2" s="237" t="s">
        <v>138</v>
      </c>
      <c r="C2" s="238"/>
      <c r="D2" s="238"/>
      <c r="E2" s="238"/>
      <c r="F2" s="238"/>
      <c r="G2" s="238"/>
      <c r="H2" s="238"/>
      <c r="I2" s="239"/>
    </row>
    <row r="3" spans="2:9" ht="30" customHeight="1" x14ac:dyDescent="0.3">
      <c r="B3" s="247" t="s">
        <v>139</v>
      </c>
      <c r="C3" s="235"/>
      <c r="D3" s="235"/>
      <c r="E3" s="235"/>
      <c r="F3" s="235"/>
      <c r="G3" s="235"/>
      <c r="H3" s="235"/>
      <c r="I3" s="236"/>
    </row>
    <row r="5" spans="2:9" x14ac:dyDescent="0.3">
      <c r="B5" s="259" t="s">
        <v>140</v>
      </c>
      <c r="C5" s="261"/>
    </row>
    <row r="6" spans="2:9" x14ac:dyDescent="0.3">
      <c r="B6" s="202" t="s">
        <v>141</v>
      </c>
      <c r="C6" s="132">
        <f>INTERCEPT('Ano 0 - Linha de Base'!$J$6:$J$57,'Ano 0 - Linha de Base'!$I$6:$I$57)</f>
        <v>0.32386422838958606</v>
      </c>
    </row>
    <row r="7" spans="2:9" x14ac:dyDescent="0.3">
      <c r="B7" s="202" t="s">
        <v>142</v>
      </c>
      <c r="C7" s="230">
        <f>SLOPE('Ano 0 - Linha de Base'!$J$6:$J$57,'Ano 0 - Linha de Base'!$I$6:$I$57)</f>
        <v>1.2752614007184152E-2</v>
      </c>
    </row>
    <row r="8" spans="2:9" x14ac:dyDescent="0.3">
      <c r="B8" s="202" t="s">
        <v>143</v>
      </c>
      <c r="C8" s="132">
        <f>CORREL('Ano 0 - Linha de Base'!$I$6:$I$57,'Ano 0 - Linha de Base'!$J$6:$J$57)</f>
        <v>0.92547247659249954</v>
      </c>
    </row>
    <row r="9" spans="2:9" x14ac:dyDescent="0.3">
      <c r="B9" s="202" t="s">
        <v>144</v>
      </c>
      <c r="C9" s="132">
        <f>RSQ('Ano 0 - Linha de Base'!$J$6:$J$57,'Ano 0 - Linha de Base'!$I$6:$I$57)</f>
        <v>0.85649930493025483</v>
      </c>
    </row>
    <row r="10" spans="2:9" x14ac:dyDescent="0.3">
      <c r="B10" s="202" t="s">
        <v>145</v>
      </c>
      <c r="C10" s="132">
        <f>STEYX('Ano 0 - Linha de Base'!$J$6:$J$57,'Ano 0 - Linha de Base'!$I$6:$I$57)</f>
        <v>2.9114789522058919E-2</v>
      </c>
    </row>
    <row r="11" spans="2:9" x14ac:dyDescent="0.3">
      <c r="B11" s="202" t="s">
        <v>146</v>
      </c>
      <c r="C11" s="134">
        <f>1/(1-C9)</f>
        <v>6.9686073611976118</v>
      </c>
    </row>
    <row r="13" spans="2:9" x14ac:dyDescent="0.3">
      <c r="B13" s="259" t="s">
        <v>147</v>
      </c>
      <c r="C13" s="261"/>
      <c r="D13" s="261"/>
      <c r="E13" s="261"/>
      <c r="F13" s="261"/>
      <c r="G13" s="261"/>
      <c r="H13" s="229"/>
    </row>
    <row r="14" spans="2:9" ht="26.4" x14ac:dyDescent="0.3">
      <c r="B14" s="200" t="s">
        <v>148</v>
      </c>
      <c r="C14" s="36" t="s">
        <v>127</v>
      </c>
      <c r="D14" s="36" t="s">
        <v>19</v>
      </c>
      <c r="E14" s="36" t="s">
        <v>130</v>
      </c>
      <c r="F14" s="36" t="s">
        <v>20</v>
      </c>
    </row>
    <row r="15" spans="2:9" x14ac:dyDescent="0.3">
      <c r="B15" s="202" t="s">
        <v>149</v>
      </c>
      <c r="C15" s="132">
        <f>C34</f>
        <v>0.95131220608007305</v>
      </c>
      <c r="D15" s="132">
        <f>C35</f>
        <v>0.94826921896007765</v>
      </c>
      <c r="E15" s="133">
        <f>C36</f>
        <v>3.4559023388452563</v>
      </c>
      <c r="F15" s="216">
        <f>C41</f>
        <v>1.3264461294652596E-2</v>
      </c>
    </row>
    <row r="16" spans="2:9" x14ac:dyDescent="0.3">
      <c r="B16" s="202" t="s">
        <v>150</v>
      </c>
      <c r="C16" s="132">
        <f>C52</f>
        <v>0.89286940443436058</v>
      </c>
      <c r="D16" s="132">
        <f>C53</f>
        <v>0.88617374221150813</v>
      </c>
      <c r="E16" s="133">
        <f>C54</f>
        <v>5.1263490345307465</v>
      </c>
      <c r="F16" s="216">
        <f>C59</f>
        <v>1.9675977989046269E-2</v>
      </c>
    </row>
    <row r="17" spans="2:9" x14ac:dyDescent="0.3">
      <c r="B17" s="202" t="s">
        <v>151</v>
      </c>
      <c r="C17" s="132">
        <f>C71</f>
        <v>0.95225850559271441</v>
      </c>
      <c r="D17" s="132">
        <f>C72</f>
        <v>0.94819539968571143</v>
      </c>
      <c r="E17" s="133">
        <f>C73</f>
        <v>3.4583672277574782</v>
      </c>
      <c r="F17" s="216">
        <f>C78</f>
        <v>1.3273922043356133E-2</v>
      </c>
    </row>
    <row r="19" spans="2:9" x14ac:dyDescent="0.3">
      <c r="B19" s="202" t="s">
        <v>152</v>
      </c>
      <c r="C19" s="132">
        <f>F68</f>
        <v>0.33938723828028161</v>
      </c>
    </row>
    <row r="20" spans="2:9" x14ac:dyDescent="0.3">
      <c r="B20" s="202" t="s">
        <v>153</v>
      </c>
      <c r="C20" s="231" t="str">
        <f>IF(C19&lt;alfa,"SIM","NÃO")</f>
        <v>NÃO</v>
      </c>
    </row>
    <row r="21" spans="2:9" x14ac:dyDescent="0.3">
      <c r="B21" s="202" t="s">
        <v>154</v>
      </c>
      <c r="C21" s="262" t="str">
        <f>INDEX(B15:B17,MATCH(MAX(D15:D17),D15:D17,0))</f>
        <v>A – P1, P2, Temp</v>
      </c>
      <c r="D21" s="253"/>
      <c r="E21" s="254"/>
    </row>
    <row r="23" spans="2:9" ht="64.05" customHeight="1" x14ac:dyDescent="0.3">
      <c r="B23" s="256" t="str">
        <f>"Conclusão: a Temp explica "&amp;FIXED(C9*100,1,TRUE)&amp;" % da variação da UR (r = "&amp;FIXED(C8,2,TRUE)&amp;"; VIF par-a-par = "&amp;FIXED(C11,1,TRUE)&amp;"). Trocar Temp por UR muda o RMSE de "&amp;FIXED(E15,3,TRUE)&amp;" para "&amp;FIXED(E16,3,TRUE)&amp;" MWh; acrescentar a parte da UR não explicada pela Temp (UR⊥) tem p = "&amp;FIXED(C19,3,TRUE)&amp;" ("&amp;IF(C20="SIM","significativa","não significativa")&amp;"). Logo, a UR atua no consumo essencialmente através da Temp, e pode ser eliminada em favor dela. Ressalva: isto não prova que a UR não influencie o consumo, apenas que, nestes dados, seu efeito não se separa do da temperatura."</f>
        <v>Conclusão: a Temp explica 85,6 % da variação da UR (r = 0,93; VIF par-a-par = 7,0). Trocar Temp por UR muda o RMSE de 3,456 para 5,126 MWh; acrescentar a parte da UR não explicada pela Temp (UR⊥) tem p = 0,339 (não significativa). Logo, a UR atua no consumo essencialmente através da Temp, e pode ser eliminada em favor dela. Ressalva: isto não prova que a UR não influencie o consumo, apenas que, nestes dados, seu efeito não se separa do da temperatura.</v>
      </c>
      <c r="C23" s="257"/>
      <c r="D23" s="257"/>
      <c r="E23" s="257"/>
      <c r="F23" s="257"/>
      <c r="G23" s="257"/>
      <c r="H23" s="257"/>
      <c r="I23" s="257"/>
    </row>
    <row r="26" spans="2:9" x14ac:dyDescent="0.3">
      <c r="B26" s="259" t="s">
        <v>155</v>
      </c>
      <c r="C26" s="261"/>
      <c r="D26" s="261"/>
      <c r="E26" s="261"/>
      <c r="F26" s="261"/>
      <c r="G26" s="261"/>
      <c r="H26" s="261"/>
      <c r="I26" s="260"/>
    </row>
    <row r="27" spans="2:9" x14ac:dyDescent="0.3">
      <c r="B27" s="200" t="s">
        <v>156</v>
      </c>
      <c r="C27" s="36" t="s">
        <v>157</v>
      </c>
      <c r="D27" s="36" t="s">
        <v>158</v>
      </c>
      <c r="E27" s="36" t="s">
        <v>159</v>
      </c>
      <c r="F27" s="36" t="s">
        <v>70</v>
      </c>
      <c r="G27" s="36" t="s">
        <v>160</v>
      </c>
      <c r="H27" s="36" t="s">
        <v>161</v>
      </c>
      <c r="I27" s="201" t="s">
        <v>162</v>
      </c>
    </row>
    <row r="28" spans="2:9" x14ac:dyDescent="0.3">
      <c r="B28" s="211" t="s">
        <v>163</v>
      </c>
      <c r="C28" s="127">
        <f>INDEX(LINEST('Ano 0 - Linha de Base'!$C$6:$C$57,Aux_X!$T$7:$V$58,TRUE(),TRUE()),1,4)</f>
        <v>111.00554683235053</v>
      </c>
      <c r="D28" s="127">
        <f>INDEX(LINEST('Ano 0 - Linha de Base'!$C$6:$C$57,Aux_X!$T$7:$V$58,TRUE(),TRUE()),2,4)</f>
        <v>8.2075007200520727</v>
      </c>
      <c r="E28" s="128">
        <f>C28/D28</f>
        <v>13.524890294696954</v>
      </c>
      <c r="F28" s="127">
        <f>TDIST(ABS(E28),$C$38,2)</f>
        <v>5.4199888230050248E-18</v>
      </c>
      <c r="G28" s="127">
        <f>C28-TINV(alfa,$C$38)*D28</f>
        <v>94.50326061138793</v>
      </c>
      <c r="H28" s="127">
        <f>C28+TINV(alfa,$C$38)*D28</f>
        <v>127.50783305331313</v>
      </c>
      <c r="I28" s="90" t="s">
        <v>137</v>
      </c>
    </row>
    <row r="29" spans="2:9" x14ac:dyDescent="0.3">
      <c r="B29" s="211" t="s">
        <v>37</v>
      </c>
      <c r="C29" s="127">
        <f>INDEX(LINEST('Ano 0 - Linha de Base'!$C$6:$C$57,Aux_X!$T$7:$V$58,TRUE(),TRUE()),1,3)</f>
        <v>2.6082653934630557</v>
      </c>
      <c r="D29" s="127">
        <f>INDEX(LINEST('Ano 0 - Linha de Base'!$C$6:$C$57,Aux_X!$T$7:$V$58,TRUE(),TRUE()),2,3)</f>
        <v>0.18723286801834133</v>
      </c>
      <c r="E29" s="128">
        <f>C29/D29</f>
        <v>13.930595739245687</v>
      </c>
      <c r="F29" s="127">
        <f>TDIST(ABS(E29),$C$38,2)</f>
        <v>1.7398016000852115E-18</v>
      </c>
      <c r="G29" s="127">
        <f>C29-TINV(alfa,$C$38)*D29</f>
        <v>2.2318084812557082</v>
      </c>
      <c r="H29" s="127">
        <f>C29+TINV(alfa,$C$38)*D29</f>
        <v>2.9847223056704033</v>
      </c>
      <c r="I29" s="90" t="str">
        <f>IF(F29&lt;alfa,"Significativa","Não significativa")</f>
        <v>Significativa</v>
      </c>
    </row>
    <row r="30" spans="2:9" x14ac:dyDescent="0.3">
      <c r="B30" s="211" t="s">
        <v>38</v>
      </c>
      <c r="C30" s="127">
        <f>INDEX(LINEST('Ano 0 - Linha de Base'!$C$6:$C$57,Aux_X!$T$7:$V$58,TRUE(),TRUE()),1,2)</f>
        <v>1.4109802051178448</v>
      </c>
      <c r="D30" s="127">
        <f>INDEX(LINEST('Ano 0 - Linha de Base'!$C$6:$C$57,Aux_X!$T$7:$V$58,TRUE(),TRUE()),2,2)</f>
        <v>0.20466592910769388</v>
      </c>
      <c r="E30" s="128">
        <f>C30/D30</f>
        <v>6.8940649343516096</v>
      </c>
      <c r="F30" s="127">
        <f>TDIST(ABS(E30),$C$38,2)</f>
        <v>1.0688157940730916E-8</v>
      </c>
      <c r="G30" s="127">
        <f>C30-TINV(alfa,$C$38)*D30</f>
        <v>0.9994717743524586</v>
      </c>
      <c r="H30" s="127">
        <f>C30+TINV(alfa,$C$38)*D30</f>
        <v>1.8224886358832311</v>
      </c>
      <c r="I30" s="90" t="str">
        <f>IF(F30&lt;alfa,"Significativa","Não significativa")</f>
        <v>Significativa</v>
      </c>
    </row>
    <row r="31" spans="2:9" x14ac:dyDescent="0.3">
      <c r="B31" s="211" t="s">
        <v>79</v>
      </c>
      <c r="C31" s="127">
        <f>INDEX(LINEST('Ano 0 - Linha de Base'!$C$6:$C$57,Aux_X!$T$7:$V$58,TRUE(),TRUE()),1,1)</f>
        <v>1.7383993341407129</v>
      </c>
      <c r="D31" s="127">
        <f>INDEX(LINEST('Ano 0 - Linha de Base'!$C$6:$C$57,Aux_X!$T$7:$V$58,TRUE(),TRUE()),2,1)</f>
        <v>0.10764499341280973</v>
      </c>
      <c r="E31" s="128">
        <f>C31/D31</f>
        <v>16.149374708715843</v>
      </c>
      <c r="F31" s="127">
        <f>TDIST(ABS(E31),$C$38,2)</f>
        <v>4.9160279623806386E-21</v>
      </c>
      <c r="G31" s="127">
        <f>C31-TINV(alfa,$C$38)*D31</f>
        <v>1.5219645689006862</v>
      </c>
      <c r="H31" s="127">
        <f>C31+TINV(alfa,$C$38)*D31</f>
        <v>1.9548340993807396</v>
      </c>
      <c r="I31" s="90" t="str">
        <f>IF(F31&lt;alfa,"Significativa","Não significativa")</f>
        <v>Significativa</v>
      </c>
    </row>
    <row r="33" spans="2:9" x14ac:dyDescent="0.3">
      <c r="B33" s="259" t="s">
        <v>164</v>
      </c>
      <c r="C33" s="260"/>
    </row>
    <row r="34" spans="2:9" x14ac:dyDescent="0.3">
      <c r="B34" s="202" t="s">
        <v>127</v>
      </c>
      <c r="C34" s="132">
        <f>INDEX(LINEST('Ano 0 - Linha de Base'!$C$6:$C$57,Aux_X!$T$7:$V$58,TRUE(),TRUE()),3,1)</f>
        <v>0.95131220608007305</v>
      </c>
    </row>
    <row r="35" spans="2:9" x14ac:dyDescent="0.3">
      <c r="B35" s="202" t="s">
        <v>19</v>
      </c>
      <c r="C35" s="132">
        <f>1-(1-C34)*(COUNT('Ano 0 - Linha de Base'!$C$6:$C$57)-1)/C38</f>
        <v>0.94826921896007765</v>
      </c>
    </row>
    <row r="36" spans="2:9" x14ac:dyDescent="0.3">
      <c r="B36" s="202" t="s">
        <v>165</v>
      </c>
      <c r="C36" s="133">
        <f>INDEX(LINEST('Ano 0 - Linha de Base'!$C$6:$C$57,Aux_X!$T$7:$V$58,TRUE(),TRUE()),3,2)</f>
        <v>3.4559023388452563</v>
      </c>
    </row>
    <row r="37" spans="2:9" x14ac:dyDescent="0.3">
      <c r="B37" s="202" t="s">
        <v>166</v>
      </c>
      <c r="C37" s="134">
        <f>INDEX(LINEST('Ano 0 - Linha de Base'!$C$6:$C$57,Aux_X!$T$7:$V$58,TRUE(),TRUE()),4,1)</f>
        <v>312.62446029725572</v>
      </c>
    </row>
    <row r="38" spans="2:9" x14ac:dyDescent="0.3">
      <c r="B38" s="202" t="s">
        <v>167</v>
      </c>
      <c r="C38" s="135">
        <f>INDEX(LINEST('Ano 0 - Linha de Base'!$C$6:$C$57,Aux_X!$T$7:$V$58,TRUE(),TRUE()),4,2)</f>
        <v>48</v>
      </c>
    </row>
    <row r="39" spans="2:9" x14ac:dyDescent="0.3">
      <c r="B39" s="202" t="s">
        <v>168</v>
      </c>
      <c r="C39" s="136">
        <f>INDEX(LINEST('Ano 0 - Linha de Base'!$C$6:$C$57,Aux_X!$T$7:$V$58,TRUE(),TRUE()),5,1)</f>
        <v>11201.266550092547</v>
      </c>
    </row>
    <row r="40" spans="2:9" x14ac:dyDescent="0.3">
      <c r="B40" s="202" t="s">
        <v>169</v>
      </c>
      <c r="C40" s="136">
        <f>INDEX(LINEST('Ano 0 - Linha de Base'!$C$6:$C$57,Aux_X!$T$7:$V$58,TRUE(),TRUE()),5,2)</f>
        <v>573.27652683053338</v>
      </c>
    </row>
    <row r="41" spans="2:9" x14ac:dyDescent="0.3">
      <c r="B41" s="203" t="s">
        <v>20</v>
      </c>
      <c r="C41" s="137">
        <f>C36/AVERAGE('Ano 0 - Linha de Base'!$C$6:$C$57)</f>
        <v>1.3264461294652596E-2</v>
      </c>
    </row>
    <row r="44" spans="2:9" x14ac:dyDescent="0.3">
      <c r="B44" s="259" t="s">
        <v>170</v>
      </c>
      <c r="C44" s="261"/>
      <c r="D44" s="261"/>
      <c r="E44" s="261"/>
      <c r="F44" s="261"/>
      <c r="G44" s="261"/>
      <c r="H44" s="261"/>
      <c r="I44" s="260"/>
    </row>
    <row r="45" spans="2:9" x14ac:dyDescent="0.3">
      <c r="B45" s="200" t="s">
        <v>156</v>
      </c>
      <c r="C45" s="36" t="s">
        <v>157</v>
      </c>
      <c r="D45" s="36" t="s">
        <v>158</v>
      </c>
      <c r="E45" s="36" t="s">
        <v>159</v>
      </c>
      <c r="F45" s="36" t="s">
        <v>70</v>
      </c>
      <c r="G45" s="36" t="s">
        <v>160</v>
      </c>
      <c r="H45" s="36" t="s">
        <v>161</v>
      </c>
      <c r="I45" s="201" t="s">
        <v>162</v>
      </c>
    </row>
    <row r="46" spans="2:9" x14ac:dyDescent="0.3">
      <c r="B46" s="211" t="s">
        <v>163</v>
      </c>
      <c r="C46" s="127">
        <f>INDEX(LINEST('Ano 0 - Linha de Base'!$C$6:$C$57,Aux_X!$AC$7:$AE$58,TRUE(),TRUE()),1,4)</f>
        <v>60.420288250958812</v>
      </c>
      <c r="D46" s="127">
        <f>INDEX(LINEST('Ano 0 - Linha de Base'!$C$6:$C$57,Aux_X!$AC$7:$AE$58,TRUE(),TRUE()),2,4)</f>
        <v>11.394900083754065</v>
      </c>
      <c r="E46" s="128">
        <f>C46/D46</f>
        <v>5.3023973713557364</v>
      </c>
      <c r="F46" s="127">
        <f>TDIST(ABS(E46),$C$56,2)</f>
        <v>2.8575372784104807E-6</v>
      </c>
      <c r="G46" s="127">
        <f>C46-TINV(alfa,$C$56)*D46</f>
        <v>37.509306082907628</v>
      </c>
      <c r="H46" s="127">
        <f>C46+TINV(alfa,$C$56)*D46</f>
        <v>83.331270419009996</v>
      </c>
      <c r="I46" s="90" t="s">
        <v>137</v>
      </c>
    </row>
    <row r="47" spans="2:9" x14ac:dyDescent="0.3">
      <c r="B47" s="211" t="s">
        <v>37</v>
      </c>
      <c r="C47" s="127">
        <f>INDEX(LINEST('Ano 0 - Linha de Base'!$C$6:$C$57,Aux_X!$AC$7:$AE$58,TRUE(),TRUE()),1,3)</f>
        <v>2.7331636950382023</v>
      </c>
      <c r="D47" s="127">
        <f>INDEX(LINEST('Ano 0 - Linha de Base'!$C$6:$C$57,Aux_X!$AC$7:$AE$58,TRUE(),TRUE()),2,3)</f>
        <v>0.27689296769764327</v>
      </c>
      <c r="E47" s="128">
        <f>C47/D47</f>
        <v>9.8708310209694989</v>
      </c>
      <c r="F47" s="127">
        <f>TDIST(ABS(E47),$C$56,2)</f>
        <v>3.8699901082239916E-13</v>
      </c>
      <c r="G47" s="127">
        <f>C47-TINV(alfa,$C$56)*D47</f>
        <v>2.176433070043597</v>
      </c>
      <c r="H47" s="127">
        <f>C47+TINV(alfa,$C$56)*D47</f>
        <v>3.2898943200328077</v>
      </c>
      <c r="I47" s="90" t="str">
        <f>IF(F47&lt;alfa,"Significativa","Não significativa")</f>
        <v>Significativa</v>
      </c>
    </row>
    <row r="48" spans="2:9" x14ac:dyDescent="0.3">
      <c r="B48" s="211" t="s">
        <v>38</v>
      </c>
      <c r="C48" s="127">
        <f>INDEX(LINEST('Ano 0 - Linha de Base'!$C$6:$C$57,Aux_X!$AC$7:$AE$58,TRUE(),TRUE()),1,2)</f>
        <v>2.0610031241256603</v>
      </c>
      <c r="D48" s="127">
        <f>INDEX(LINEST('Ano 0 - Linha de Base'!$C$6:$C$57,Aux_X!$AC$7:$AE$58,TRUE(),TRUE()),2,2)</f>
        <v>0.28083485964098542</v>
      </c>
      <c r="E48" s="128">
        <f>C48/D48</f>
        <v>7.3388436419909269</v>
      </c>
      <c r="F48" s="127">
        <f>TDIST(ABS(E48),$C$56,2)</f>
        <v>2.2275893982357734E-9</v>
      </c>
      <c r="G48" s="127">
        <f>C48-TINV(alfa,$C$56)*D48</f>
        <v>1.4963467941789725</v>
      </c>
      <c r="H48" s="127">
        <f>C48+TINV(alfa,$C$56)*D48</f>
        <v>2.6256594540723484</v>
      </c>
      <c r="I48" s="90" t="str">
        <f>IF(F48&lt;alfa,"Significativa","Não significativa")</f>
        <v>Significativa</v>
      </c>
    </row>
    <row r="49" spans="2:9" x14ac:dyDescent="0.3">
      <c r="B49" s="211" t="s">
        <v>80</v>
      </c>
      <c r="C49" s="127">
        <f>INDEX(LINEST('Ano 0 - Linha de Base'!$C$6:$C$57,Aux_X!$AC$7:$AE$58,TRUE(),TRUE()),1,1)</f>
        <v>103.31381885011663</v>
      </c>
      <c r="D49" s="127">
        <f>INDEX(LINEST('Ano 0 - Linha de Base'!$C$6:$C$57,Aux_X!$AC$7:$AE$58,TRUE(),TRUE()),2,1)</f>
        <v>10.751255839175156</v>
      </c>
      <c r="E49" s="128">
        <f>C49/D49</f>
        <v>9.6094652006758441</v>
      </c>
      <c r="F49" s="127">
        <f>TDIST(ABS(E49),$C$56,2)</f>
        <v>9.1800081224895249E-13</v>
      </c>
      <c r="G49" s="127">
        <f>C49-TINV(alfa,$C$56)*D49</f>
        <v>81.696970171760597</v>
      </c>
      <c r="H49" s="127">
        <f>C49+TINV(alfa,$C$56)*D49</f>
        <v>124.93066752847267</v>
      </c>
      <c r="I49" s="90" t="str">
        <f>IF(F49&lt;alfa,"Significativa","Não significativa")</f>
        <v>Significativa</v>
      </c>
    </row>
    <row r="51" spans="2:9" x14ac:dyDescent="0.3">
      <c r="B51" s="259" t="s">
        <v>164</v>
      </c>
      <c r="C51" s="260"/>
    </row>
    <row r="52" spans="2:9" x14ac:dyDescent="0.3">
      <c r="B52" s="202" t="s">
        <v>127</v>
      </c>
      <c r="C52" s="132">
        <f>INDEX(LINEST('Ano 0 - Linha de Base'!$C$6:$C$57,Aux_X!$AC$7:$AE$58,TRUE(),TRUE()),3,1)</f>
        <v>0.89286940443436058</v>
      </c>
    </row>
    <row r="53" spans="2:9" x14ac:dyDescent="0.3">
      <c r="B53" s="202" t="s">
        <v>19</v>
      </c>
      <c r="C53" s="132">
        <f>1-(1-C52)*(COUNT('Ano 0 - Linha de Base'!$C$6:$C$57)-1)/C56</f>
        <v>0.88617374221150813</v>
      </c>
    </row>
    <row r="54" spans="2:9" x14ac:dyDescent="0.3">
      <c r="B54" s="202" t="s">
        <v>165</v>
      </c>
      <c r="C54" s="133">
        <f>INDEX(LINEST('Ano 0 - Linha de Base'!$C$6:$C$57,Aux_X!$AC$7:$AE$58,TRUE(),TRUE()),3,2)</f>
        <v>5.1263490345307465</v>
      </c>
    </row>
    <row r="55" spans="2:9" x14ac:dyDescent="0.3">
      <c r="B55" s="202" t="s">
        <v>166</v>
      </c>
      <c r="C55" s="134">
        <f>INDEX(LINEST('Ano 0 - Linha de Base'!$C$6:$C$57,Aux_X!$AC$7:$AE$58,TRUE(),TRUE()),4,1)</f>
        <v>133.35042520319712</v>
      </c>
    </row>
    <row r="56" spans="2:9" x14ac:dyDescent="0.3">
      <c r="B56" s="202" t="s">
        <v>167</v>
      </c>
      <c r="C56" s="135">
        <f>INDEX(LINEST('Ano 0 - Linha de Base'!$C$6:$C$57,Aux_X!$AC$7:$AE$58,TRUE(),TRUE()),4,2)</f>
        <v>48</v>
      </c>
    </row>
    <row r="57" spans="2:9" x14ac:dyDescent="0.3">
      <c r="B57" s="202" t="s">
        <v>168</v>
      </c>
      <c r="C57" s="136">
        <f>INDEX(LINEST('Ano 0 - Linha de Base'!$C$6:$C$57,Aux_X!$AC$7:$AE$58,TRUE(),TRUE()),5,1)</f>
        <v>10513.129264579034</v>
      </c>
    </row>
    <row r="58" spans="2:9" x14ac:dyDescent="0.3">
      <c r="B58" s="202" t="s">
        <v>169</v>
      </c>
      <c r="C58" s="136">
        <f>INDEX(LINEST('Ano 0 - Linha de Base'!$C$6:$C$57,Aux_X!$AC$7:$AE$58,TRUE(),TRUE()),5,2)</f>
        <v>1261.4138123440471</v>
      </c>
    </row>
    <row r="59" spans="2:9" x14ac:dyDescent="0.3">
      <c r="B59" s="203" t="s">
        <v>20</v>
      </c>
      <c r="C59" s="137">
        <f>C54/AVERAGE('Ano 0 - Linha de Base'!$C$6:$C$57)</f>
        <v>1.9675977989046269E-2</v>
      </c>
    </row>
    <row r="62" spans="2:9" x14ac:dyDescent="0.3">
      <c r="B62" s="259" t="s">
        <v>171</v>
      </c>
      <c r="C62" s="261"/>
      <c r="D62" s="261"/>
      <c r="E62" s="261"/>
      <c r="F62" s="261"/>
      <c r="G62" s="261"/>
      <c r="H62" s="261"/>
      <c r="I62" s="260"/>
    </row>
    <row r="63" spans="2:9" x14ac:dyDescent="0.3">
      <c r="B63" s="200" t="s">
        <v>156</v>
      </c>
      <c r="C63" s="36" t="s">
        <v>157</v>
      </c>
      <c r="D63" s="36" t="s">
        <v>158</v>
      </c>
      <c r="E63" s="36" t="s">
        <v>159</v>
      </c>
      <c r="F63" s="36" t="s">
        <v>70</v>
      </c>
      <c r="G63" s="36" t="s">
        <v>160</v>
      </c>
      <c r="H63" s="36" t="s">
        <v>161</v>
      </c>
      <c r="I63" s="201" t="s">
        <v>162</v>
      </c>
    </row>
    <row r="64" spans="2:9" x14ac:dyDescent="0.3">
      <c r="B64" s="211" t="s">
        <v>163</v>
      </c>
      <c r="C64" s="127">
        <f>INDEX(LINEST('Ano 0 - Linha de Base'!$C$6:$C$57,Aux_X!$X$7:$AA$58,TRUE(),TRUE()),1,5)</f>
        <v>112.26704769787898</v>
      </c>
      <c r="D64" s="127">
        <f>INDEX(LINEST('Ano 0 - Linha de Base'!$C$6:$C$57,Aux_X!$X$7:$AA$58,TRUE(),TRUE()),2,5)</f>
        <v>8.3166951217513354</v>
      </c>
      <c r="E64" s="128">
        <f>C64/D64</f>
        <v>13.498997625181396</v>
      </c>
      <c r="F64" s="127">
        <f>TDIST(ABS(E64),$C$75,2)</f>
        <v>8.6973244614033288E-18</v>
      </c>
      <c r="G64" s="127">
        <f>C64-TINV(alfa,$C$75)*D64</f>
        <v>95.5360151811131</v>
      </c>
      <c r="H64" s="127">
        <f>C64+TINV(alfa,$C$75)*D64</f>
        <v>128.99808021464486</v>
      </c>
      <c r="I64" s="90" t="s">
        <v>137</v>
      </c>
    </row>
    <row r="65" spans="2:9" x14ac:dyDescent="0.3">
      <c r="B65" s="211" t="s">
        <v>37</v>
      </c>
      <c r="C65" s="127">
        <f>INDEX(LINEST('Ano 0 - Linha de Base'!$C$6:$C$57,Aux_X!$X$7:$AA$58,TRUE(),TRUE()),1,4)</f>
        <v>2.6137088359752005</v>
      </c>
      <c r="D65" s="127">
        <f>INDEX(LINEST('Ano 0 - Linha de Base'!$C$6:$C$57,Aux_X!$X$7:$AA$58,TRUE(),TRUE()),2,4)</f>
        <v>0.18745126882353977</v>
      </c>
      <c r="E65" s="128">
        <f>C65/D65</f>
        <v>13.943404343854599</v>
      </c>
      <c r="F65" s="127">
        <f>TDIST(ABS(E65),$C$75,2)</f>
        <v>2.5566452100030671E-18</v>
      </c>
      <c r="G65" s="127">
        <f>C65-TINV(alfa,$C$75)*D65</f>
        <v>2.2366055241328362</v>
      </c>
      <c r="H65" s="127">
        <f>C65+TINV(alfa,$C$75)*D65</f>
        <v>2.9908121478175649</v>
      </c>
      <c r="I65" s="90" t="str">
        <f>IF(F65&lt;alfa,"Significativa","Não significativa")</f>
        <v>Significativa</v>
      </c>
    </row>
    <row r="66" spans="2:9" x14ac:dyDescent="0.3">
      <c r="B66" s="211" t="s">
        <v>38</v>
      </c>
      <c r="C66" s="127">
        <f>INDEX(LINEST('Ano 0 - Linha de Base'!$C$6:$C$57,Aux_X!$X$7:$AA$58,TRUE(),TRUE()),1,3)</f>
        <v>1.365503051306278</v>
      </c>
      <c r="D66" s="127">
        <f>INDEX(LINEST('Ano 0 - Linha de Base'!$C$6:$C$57,Aux_X!$X$7:$AA$58,TRUE(),TRUE()),2,3)</f>
        <v>0.21016168153756651</v>
      </c>
      <c r="E66" s="128">
        <f>C66/D66</f>
        <v>6.4973930609809747</v>
      </c>
      <c r="F66" s="127">
        <f>TDIST(ABS(E66),$C$75,2)</f>
        <v>4.7376605042478932E-8</v>
      </c>
      <c r="G66" s="127">
        <f>C66-TINV(alfa,$C$75)*D66</f>
        <v>0.94271228212358227</v>
      </c>
      <c r="H66" s="127">
        <f>C66+TINV(alfa,$C$75)*D66</f>
        <v>1.7882938204889738</v>
      </c>
      <c r="I66" s="90" t="str">
        <f>IF(F66&lt;alfa,"Significativa","Não significativa")</f>
        <v>Significativa</v>
      </c>
    </row>
    <row r="67" spans="2:9" x14ac:dyDescent="0.3">
      <c r="B67" s="211" t="s">
        <v>79</v>
      </c>
      <c r="C67" s="127">
        <f>INDEX(LINEST('Ano 0 - Linha de Base'!$C$6:$C$57,Aux_X!$X$7:$AA$58,TRUE(),TRUE()),1,2)</f>
        <v>1.7505659383759675</v>
      </c>
      <c r="D67" s="127">
        <f>INDEX(LINEST('Ano 0 - Linha de Base'!$C$6:$C$57,Aux_X!$X$7:$AA$58,TRUE(),TRUE()),2,2)</f>
        <v>0.10845678429422982</v>
      </c>
      <c r="E67" s="128">
        <f>C67/D67</f>
        <v>16.140677134838324</v>
      </c>
      <c r="F67" s="127">
        <f>TDIST(ABS(E67),$C$75,2)</f>
        <v>8.4574447891449468E-21</v>
      </c>
      <c r="G67" s="127">
        <f>C67-TINV(alfa,$C$75)*D67</f>
        <v>1.532379031422415</v>
      </c>
      <c r="H67" s="127">
        <f>C67+TINV(alfa,$C$75)*D67</f>
        <v>1.96875284532952</v>
      </c>
      <c r="I67" s="90" t="str">
        <f>IF(F67&lt;alfa,"Significativa","Não significativa")</f>
        <v>Significativa</v>
      </c>
    </row>
    <row r="68" spans="2:9" x14ac:dyDescent="0.3">
      <c r="B68" s="211" t="s">
        <v>172</v>
      </c>
      <c r="C68" s="127">
        <f>INDEX(LINEST('Ano 0 - Linha de Base'!$C$6:$C$57,Aux_X!$X$7:$AA$58,TRUE(),TRUE()),1,1)</f>
        <v>-16.687138031883347</v>
      </c>
      <c r="D68" s="127">
        <f>INDEX(LINEST('Ano 0 - Linha de Base'!$C$6:$C$57,Aux_X!$X$7:$AA$58,TRUE(),TRUE()),2,1)</f>
        <v>17.288870677860967</v>
      </c>
      <c r="E68" s="128">
        <f>C68/D68</f>
        <v>-0.96519537584671966</v>
      </c>
      <c r="F68" s="127">
        <f>TDIST(ABS(E68),$C$75,2)</f>
        <v>0.33938723828028161</v>
      </c>
      <c r="G68" s="127">
        <f>C68-TINV(alfa,$C$75)*D68</f>
        <v>-51.467859611170866</v>
      </c>
      <c r="H68" s="127">
        <f>C68+TINV(alfa,$C$75)*D68</f>
        <v>18.093583547404176</v>
      </c>
      <c r="I68" s="90" t="str">
        <f>IF(F68&lt;alfa,"Significativa","Não significativa")</f>
        <v>Não significativa</v>
      </c>
    </row>
    <row r="70" spans="2:9" x14ac:dyDescent="0.3">
      <c r="B70" s="259" t="s">
        <v>164</v>
      </c>
      <c r="C70" s="260"/>
    </row>
    <row r="71" spans="2:9" x14ac:dyDescent="0.3">
      <c r="B71" s="202" t="s">
        <v>127</v>
      </c>
      <c r="C71" s="132">
        <f>INDEX(LINEST('Ano 0 - Linha de Base'!$C$6:$C$57,Aux_X!$X$7:$AA$58,TRUE(),TRUE()),3,1)</f>
        <v>0.95225850559271441</v>
      </c>
    </row>
    <row r="72" spans="2:9" x14ac:dyDescent="0.3">
      <c r="B72" s="202" t="s">
        <v>19</v>
      </c>
      <c r="C72" s="132">
        <f>1-(1-C71)*(COUNT('Ano 0 - Linha de Base'!$C$6:$C$57)-1)/C75</f>
        <v>0.94819539968571143</v>
      </c>
    </row>
    <row r="73" spans="2:9" x14ac:dyDescent="0.3">
      <c r="B73" s="202" t="s">
        <v>165</v>
      </c>
      <c r="C73" s="133">
        <f>INDEX(LINEST('Ano 0 - Linha de Base'!$C$6:$C$57,Aux_X!$X$7:$AA$58,TRUE(),TRUE()),3,2)</f>
        <v>3.4583672277574782</v>
      </c>
    </row>
    <row r="74" spans="2:9" x14ac:dyDescent="0.3">
      <c r="B74" s="202" t="s">
        <v>166</v>
      </c>
      <c r="C74" s="134">
        <f>INDEX(LINEST('Ano 0 - Linha de Base'!$C$6:$C$57,Aux_X!$X$7:$AA$58,TRUE(),TRUE()),4,1)</f>
        <v>234.36713868359544</v>
      </c>
    </row>
    <row r="75" spans="2:9" x14ac:dyDescent="0.3">
      <c r="B75" s="202" t="s">
        <v>167</v>
      </c>
      <c r="C75" s="135">
        <f>INDEX(LINEST('Ano 0 - Linha de Base'!$C$6:$C$57,Aux_X!$X$7:$AA$58,TRUE(),TRUE()),4,2)</f>
        <v>47</v>
      </c>
    </row>
    <row r="76" spans="2:9" x14ac:dyDescent="0.3">
      <c r="B76" s="202" t="s">
        <v>168</v>
      </c>
      <c r="C76" s="136">
        <f>INDEX(LINEST('Ano 0 - Linha de Base'!$C$6:$C$57,Aux_X!$X$7:$AA$58,TRUE(),TRUE()),5,1)</f>
        <v>11212.408794467814</v>
      </c>
    </row>
    <row r="77" spans="2:9" x14ac:dyDescent="0.3">
      <c r="B77" s="202" t="s">
        <v>169</v>
      </c>
      <c r="C77" s="136">
        <f>INDEX(LINEST('Ano 0 - Linha de Base'!$C$6:$C$57,Aux_X!$X$7:$AA$58,TRUE(),TRUE()),5,2)</f>
        <v>562.13428245526632</v>
      </c>
    </row>
    <row r="78" spans="2:9" x14ac:dyDescent="0.3">
      <c r="B78" s="203" t="s">
        <v>20</v>
      </c>
      <c r="C78" s="137">
        <f>C73/AVERAGE('Ano 0 - Linha de Base'!$C$6:$C$57)</f>
        <v>1.3273922043356133E-2</v>
      </c>
    </row>
  </sheetData>
  <mergeCells count="12">
    <mergeCell ref="B2:I2"/>
    <mergeCell ref="B51:C51"/>
    <mergeCell ref="B3:I3"/>
    <mergeCell ref="B13:G13"/>
    <mergeCell ref="C21:E21"/>
    <mergeCell ref="B23:I23"/>
    <mergeCell ref="B26:I26"/>
    <mergeCell ref="B70:C70"/>
    <mergeCell ref="B44:I44"/>
    <mergeCell ref="B62:I62"/>
    <mergeCell ref="B33:C33"/>
    <mergeCell ref="B5:C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4"/>
  <sheetViews>
    <sheetView showGridLines="0" zoomScaleNormal="100" workbookViewId="0">
      <selection activeCell="B5" sqref="B5:I5"/>
    </sheetView>
  </sheetViews>
  <sheetFormatPr defaultColWidth="8.6640625" defaultRowHeight="14.4" x14ac:dyDescent="0.3"/>
  <cols>
    <col min="2" max="2" width="40" customWidth="1"/>
    <col min="3" max="4" width="14" customWidth="1"/>
    <col min="5" max="6" width="12" customWidth="1"/>
    <col min="7" max="8" width="13" customWidth="1"/>
    <col min="9" max="9" width="18" customWidth="1"/>
  </cols>
  <sheetData>
    <row r="1" spans="2:9" ht="15" customHeight="1" thickBot="1" x14ac:dyDescent="0.35"/>
    <row r="2" spans="2:9" ht="17.399999999999999" customHeight="1" x14ac:dyDescent="0.3">
      <c r="B2" s="237" t="s">
        <v>173</v>
      </c>
      <c r="C2" s="238"/>
      <c r="D2" s="238"/>
      <c r="E2" s="238"/>
      <c r="F2" s="238"/>
      <c r="G2" s="238"/>
      <c r="H2" s="238"/>
      <c r="I2" s="239"/>
    </row>
    <row r="3" spans="2:9" ht="15" customHeight="1" thickBot="1" x14ac:dyDescent="0.35">
      <c r="B3" s="234" t="s">
        <v>174</v>
      </c>
      <c r="C3" s="235"/>
      <c r="D3" s="235"/>
      <c r="E3" s="235"/>
      <c r="F3" s="235"/>
      <c r="G3" s="235"/>
      <c r="H3" s="235"/>
      <c r="I3" s="236"/>
    </row>
    <row r="4" spans="2:9" ht="15" customHeight="1" thickBot="1" x14ac:dyDescent="0.35"/>
    <row r="5" spans="2:9" x14ac:dyDescent="0.3">
      <c r="B5" s="263" t="s">
        <v>175</v>
      </c>
      <c r="C5" s="238"/>
      <c r="D5" s="238"/>
      <c r="E5" s="238"/>
      <c r="F5" s="238"/>
      <c r="G5" s="238"/>
      <c r="H5" s="238"/>
      <c r="I5" s="239"/>
    </row>
    <row r="6" spans="2:9" x14ac:dyDescent="0.3">
      <c r="B6" s="116" t="s">
        <v>156</v>
      </c>
      <c r="C6" s="117" t="s">
        <v>157</v>
      </c>
      <c r="D6" s="117" t="s">
        <v>158</v>
      </c>
      <c r="E6" s="117" t="s">
        <v>159</v>
      </c>
      <c r="F6" s="117" t="s">
        <v>70</v>
      </c>
      <c r="G6" s="117" t="s">
        <v>160</v>
      </c>
      <c r="H6" s="117" t="s">
        <v>161</v>
      </c>
      <c r="I6" s="118" t="s">
        <v>162</v>
      </c>
    </row>
    <row r="7" spans="2:9" x14ac:dyDescent="0.3">
      <c r="B7" s="114" t="s">
        <v>163</v>
      </c>
      <c r="C7" s="19">
        <f>INDEX(LINEST('Ano 0 - Linha de Base'!$C$6:$C$57,'Ano 0 - Linha de Base'!$D$6:$J$57,TRUE(),TRUE()),1,8)</f>
        <v>116.8646921103968</v>
      </c>
      <c r="D7" s="19">
        <f>INDEX(LINEST('Ano 0 - Linha de Base'!$C$6:$C$57,'Ano 0 - Linha de Base'!$D$6:$J$57,TRUE(),TRUE()),2,8)</f>
        <v>20.029942417742493</v>
      </c>
      <c r="E7" s="17">
        <f t="shared" ref="E7:E14" si="0">C7/D7</f>
        <v>5.8344996542215837</v>
      </c>
      <c r="F7" s="19">
        <f t="shared" ref="F7:F14" si="1">TDIST(ABS(E7),$C$21,2)</f>
        <v>5.9052451129216811E-7</v>
      </c>
      <c r="G7" s="19">
        <f t="shared" ref="G7:G14" si="2">C7-TINV(alfa,$C$21)*D7</f>
        <v>76.496995643702832</v>
      </c>
      <c r="H7" s="19">
        <f t="shared" ref="H7:H14" si="3">C7+TINV(alfa,$C$21)*D7</f>
        <v>157.23238857709077</v>
      </c>
      <c r="I7" s="115" t="s">
        <v>137</v>
      </c>
    </row>
    <row r="8" spans="2:9" x14ac:dyDescent="0.3">
      <c r="B8" s="114" t="s">
        <v>74</v>
      </c>
      <c r="C8" s="19">
        <f>INDEX(LINEST('Ano 0 - Linha de Base'!$C$6:$C$57,'Ano 0 - Linha de Base'!$D$6:$J$57,TRUE(),TRUE()),1,7)</f>
        <v>2.5874120122249269</v>
      </c>
      <c r="D8" s="19">
        <f>INDEX(LINEST('Ano 0 - Linha de Base'!$C$6:$C$57,'Ano 0 - Linha de Base'!$D$6:$J$57,TRUE(),TRUE()),2,7)</f>
        <v>0.20384554787317472</v>
      </c>
      <c r="E8" s="17">
        <f t="shared" si="0"/>
        <v>12.693002320731187</v>
      </c>
      <c r="F8" s="19">
        <f t="shared" si="1"/>
        <v>2.6289110238743701E-16</v>
      </c>
      <c r="G8" s="19">
        <f t="shared" si="2"/>
        <v>2.1765883048466064</v>
      </c>
      <c r="H8" s="19">
        <f t="shared" si="3"/>
        <v>2.9982357196032474</v>
      </c>
      <c r="I8" s="115" t="str">
        <f t="shared" ref="I8:I14" si="4">IF(F8&lt;alfa,"Significativa","Não significativa")</f>
        <v>Significativa</v>
      </c>
    </row>
    <row r="9" spans="2:9" x14ac:dyDescent="0.3">
      <c r="B9" s="114" t="s">
        <v>75</v>
      </c>
      <c r="C9" s="19">
        <f>INDEX(LINEST('Ano 0 - Linha de Base'!$C$6:$C$57,'Ano 0 - Linha de Base'!$D$6:$J$57,TRUE(),TRUE()),1,6)</f>
        <v>1.3549386374307173</v>
      </c>
      <c r="D9" s="19">
        <f>INDEX(LINEST('Ano 0 - Linha de Base'!$C$6:$C$57,'Ano 0 - Linha de Base'!$D$6:$J$57,TRUE(),TRUE()),2,6)</f>
        <v>0.22458475067571165</v>
      </c>
      <c r="E9" s="17">
        <f t="shared" si="0"/>
        <v>6.0330838730327514</v>
      </c>
      <c r="F9" s="19">
        <f t="shared" si="1"/>
        <v>3.0172275622055666E-7</v>
      </c>
      <c r="G9" s="19">
        <f t="shared" si="2"/>
        <v>0.90231781320435056</v>
      </c>
      <c r="H9" s="19">
        <f t="shared" si="3"/>
        <v>1.807559461657084</v>
      </c>
      <c r="I9" s="115" t="str">
        <f t="shared" si="4"/>
        <v>Significativa</v>
      </c>
    </row>
    <row r="10" spans="2:9" x14ac:dyDescent="0.3">
      <c r="B10" s="114" t="s">
        <v>76</v>
      </c>
      <c r="C10" s="19">
        <f>INDEX(LINEST('Ano 0 - Linha de Base'!$C$6:$C$57,'Ano 0 - Linha de Base'!$D$6:$J$57,TRUE(),TRUE()),1,5)</f>
        <v>-2.5676049933371168E-2</v>
      </c>
      <c r="D10" s="19">
        <f>INDEX(LINEST('Ano 0 - Linha de Base'!$C$6:$C$57,'Ano 0 - Linha de Base'!$D$6:$J$57,TRUE(),TRUE()),2,5)</f>
        <v>0.15395213552165821</v>
      </c>
      <c r="E10" s="17">
        <f t="shared" si="0"/>
        <v>-0.16677943340226692</v>
      </c>
      <c r="F10" s="19">
        <f t="shared" si="1"/>
        <v>0.86830770284049141</v>
      </c>
      <c r="G10" s="19">
        <f t="shared" si="2"/>
        <v>-0.33594619188009328</v>
      </c>
      <c r="H10" s="19">
        <f t="shared" si="3"/>
        <v>0.2845940920133509</v>
      </c>
      <c r="I10" s="115" t="str">
        <f t="shared" si="4"/>
        <v>Não significativa</v>
      </c>
    </row>
    <row r="11" spans="2:9" x14ac:dyDescent="0.3">
      <c r="B11" s="114" t="s">
        <v>77</v>
      </c>
      <c r="C11" s="19">
        <f>INDEX(LINEST('Ano 0 - Linha de Base'!$C$6:$C$57,'Ano 0 - Linha de Base'!$D$6:$J$57,TRUE(),TRUE()),1,4)</f>
        <v>0.29489058051783845</v>
      </c>
      <c r="D11" s="19">
        <f>INDEX(LINEST('Ano 0 - Linha de Base'!$C$6:$C$57,'Ano 0 - Linha de Base'!$D$6:$J$57,TRUE(),TRUE()),2,4)</f>
        <v>0.49837329738927399</v>
      </c>
      <c r="E11" s="17">
        <f t="shared" si="0"/>
        <v>0.59170622114511606</v>
      </c>
      <c r="F11" s="19">
        <f t="shared" si="1"/>
        <v>0.55707549689979019</v>
      </c>
      <c r="G11" s="19">
        <f t="shared" si="2"/>
        <v>-0.70951480300912373</v>
      </c>
      <c r="H11" s="19">
        <f t="shared" si="3"/>
        <v>1.2992959640448007</v>
      </c>
      <c r="I11" s="115" t="str">
        <f t="shared" si="4"/>
        <v>Não significativa</v>
      </c>
    </row>
    <row r="12" spans="2:9" x14ac:dyDescent="0.3">
      <c r="B12" s="114" t="s">
        <v>78</v>
      </c>
      <c r="C12" s="19">
        <f>INDEX(LINEST('Ano 0 - Linha de Base'!$C$6:$C$57,'Ano 0 - Linha de Base'!$D$6:$J$57,TRUE(),TRUE()),1,3)</f>
        <v>3.4104952080661307E-3</v>
      </c>
      <c r="D12" s="19">
        <f>INDEX(LINEST('Ano 0 - Linha de Base'!$C$6:$C$57,'Ano 0 - Linha de Base'!$D$6:$J$57,TRUE(),TRUE()),2,3)</f>
        <v>7.034612836653234E-2</v>
      </c>
      <c r="E12" s="17">
        <f t="shared" si="0"/>
        <v>4.8481633421189066E-2</v>
      </c>
      <c r="F12" s="19">
        <f t="shared" si="1"/>
        <v>0.96155180409073182</v>
      </c>
      <c r="G12" s="19">
        <f t="shared" si="2"/>
        <v>-0.13836281088950186</v>
      </c>
      <c r="H12" s="19">
        <f t="shared" si="3"/>
        <v>0.14518380130563413</v>
      </c>
      <c r="I12" s="115" t="str">
        <f t="shared" si="4"/>
        <v>Não significativa</v>
      </c>
    </row>
    <row r="13" spans="2:9" x14ac:dyDescent="0.3">
      <c r="B13" s="114" t="s">
        <v>79</v>
      </c>
      <c r="C13" s="19">
        <f>INDEX(LINEST('Ano 0 - Linha de Base'!$C$6:$C$57,'Ano 0 - Linha de Base'!$D$6:$J$57,TRUE(),TRUE()),1,2)</f>
        <v>1.9749882098972709</v>
      </c>
      <c r="D13" s="19">
        <f>INDEX(LINEST('Ano 0 - Linha de Base'!$C$6:$C$57,'Ano 0 - Linha de Base'!$D$6:$J$57,TRUE(),TRUE()),2,2)</f>
        <v>0.26612698201005114</v>
      </c>
      <c r="E13" s="17">
        <f t="shared" si="0"/>
        <v>7.42122499184498</v>
      </c>
      <c r="F13" s="19">
        <f t="shared" si="1"/>
        <v>2.7719659027662072E-9</v>
      </c>
      <c r="G13" s="19">
        <f t="shared" si="2"/>
        <v>1.4386445196696347</v>
      </c>
      <c r="H13" s="19">
        <f t="shared" si="3"/>
        <v>2.5113319001249073</v>
      </c>
      <c r="I13" s="115" t="str">
        <f t="shared" si="4"/>
        <v>Significativa</v>
      </c>
    </row>
    <row r="14" spans="2:9" x14ac:dyDescent="0.3">
      <c r="B14" s="119" t="s">
        <v>80</v>
      </c>
      <c r="C14" s="120">
        <f>INDEX(LINEST('Ano 0 - Linha de Base'!$C$6:$C$57,'Ano 0 - Linha de Base'!$D$6:$J$57,TRUE(),TRUE()),1,1)</f>
        <v>-17.11258489316733</v>
      </c>
      <c r="D14" s="120">
        <f>INDEX(LINEST('Ano 0 - Linha de Base'!$C$6:$C$57,'Ano 0 - Linha de Base'!$D$6:$J$57,TRUE(),TRUE()),2,1)</f>
        <v>18.121880229938871</v>
      </c>
      <c r="E14" s="121">
        <f t="shared" si="0"/>
        <v>-0.94430515355111444</v>
      </c>
      <c r="F14" s="120">
        <f t="shared" si="1"/>
        <v>0.35017046802183294</v>
      </c>
      <c r="G14" s="120">
        <f t="shared" si="2"/>
        <v>-53.634834696539649</v>
      </c>
      <c r="H14" s="120">
        <f t="shared" si="3"/>
        <v>19.409664910204988</v>
      </c>
      <c r="I14" s="122" t="str">
        <f t="shared" si="4"/>
        <v>Não significativa</v>
      </c>
    </row>
    <row r="15" spans="2:9" ht="15" customHeight="1" thickBot="1" x14ac:dyDescent="0.35">
      <c r="B15" s="123"/>
      <c r="C15" s="124"/>
      <c r="D15" s="124"/>
      <c r="E15" s="125"/>
      <c r="F15" s="124"/>
      <c r="G15" s="124"/>
      <c r="H15" s="124"/>
      <c r="I15" s="126"/>
    </row>
    <row r="16" spans="2:9" ht="15" customHeight="1" thickBot="1" x14ac:dyDescent="0.35">
      <c r="B16" s="263" t="s">
        <v>164</v>
      </c>
      <c r="C16" s="239"/>
    </row>
    <row r="17" spans="2:3" x14ac:dyDescent="0.3">
      <c r="B17" s="130" t="s">
        <v>127</v>
      </c>
      <c r="C17" s="131">
        <f>INDEX(LINEST('Ano 0 - Linha de Base'!$C$6:$C$57,'Ano 0 - Linha de Base'!$D$6:$J$57,TRUE(),TRUE()),3,1)</f>
        <v>0.95266178298942716</v>
      </c>
    </row>
    <row r="18" spans="2:3" x14ac:dyDescent="0.3">
      <c r="B18" s="89" t="s">
        <v>19</v>
      </c>
      <c r="C18" s="132">
        <f>1-(1-C17)*(COUNT('Ano 0 - Linha de Base'!$C$6:$C$57)-1)/C21</f>
        <v>0.94513070301047242</v>
      </c>
    </row>
    <row r="19" spans="2:3" x14ac:dyDescent="0.3">
      <c r="B19" s="89" t="s">
        <v>165</v>
      </c>
      <c r="C19" s="133">
        <f>INDEX(LINEST('Ano 0 - Linha de Base'!$C$6:$C$57,'Ano 0 - Linha de Base'!$D$6:$J$57,TRUE(),TRUE()),3,2)</f>
        <v>3.5591938418683644</v>
      </c>
    </row>
    <row r="20" spans="2:3" x14ac:dyDescent="0.3">
      <c r="B20" s="89" t="s">
        <v>166</v>
      </c>
      <c r="C20" s="134">
        <f>INDEX(LINEST('Ano 0 - Linha de Base'!$C$6:$C$57,'Ano 0 - Linha de Base'!$D$6:$J$57,TRUE(),TRUE()),4,1)</f>
        <v>126.49736633412397</v>
      </c>
    </row>
    <row r="21" spans="2:3" x14ac:dyDescent="0.3">
      <c r="B21" s="89" t="s">
        <v>167</v>
      </c>
      <c r="C21" s="135">
        <f>INDEX(LINEST('Ano 0 - Linha de Base'!$C$6:$C$57,'Ano 0 - Linha de Base'!$D$6:$J$57,TRUE(),TRUE()),4,2)</f>
        <v>44</v>
      </c>
    </row>
    <row r="22" spans="2:3" x14ac:dyDescent="0.3">
      <c r="B22" s="89" t="s">
        <v>168</v>
      </c>
      <c r="C22" s="136">
        <f>INDEX(LINEST('Ano 0 - Linha de Base'!$C$6:$C$57,'Ano 0 - Linha de Base'!$D$6:$J$57,TRUE(),TRUE()),5,1)</f>
        <v>11217.157201547358</v>
      </c>
    </row>
    <row r="23" spans="2:3" x14ac:dyDescent="0.3">
      <c r="B23" s="89" t="s">
        <v>169</v>
      </c>
      <c r="C23" s="136">
        <f>INDEX(LINEST('Ano 0 - Linha de Base'!$C$6:$C$57,'Ano 0 - Linha de Base'!$D$6:$J$57,TRUE(),TRUE()),5,2)</f>
        <v>557.38587537572232</v>
      </c>
    </row>
    <row r="24" spans="2:3" ht="15" customHeight="1" thickBot="1" x14ac:dyDescent="0.35">
      <c r="B24" s="91" t="s">
        <v>20</v>
      </c>
      <c r="C24" s="137">
        <f>C19/AVERAGE('Ano 0 - Linha de Base'!$C$6:$C$57)</f>
        <v>1.3660915247797091E-2</v>
      </c>
    </row>
  </sheetData>
  <mergeCells count="4">
    <mergeCell ref="B3:I3"/>
    <mergeCell ref="B5:I5"/>
    <mergeCell ref="B16:C16"/>
    <mergeCell ref="B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15"/>
  <sheetViews>
    <sheetView showGridLines="0" zoomScaleNormal="100" workbookViewId="0">
      <selection activeCell="B87" sqref="B87:I92"/>
    </sheetView>
  </sheetViews>
  <sheetFormatPr defaultColWidth="8.6640625" defaultRowHeight="14.4" x14ac:dyDescent="0.3"/>
  <cols>
    <col min="2" max="2" width="40" customWidth="1"/>
    <col min="3" max="4" width="14" customWidth="1"/>
    <col min="5" max="6" width="12" customWidth="1"/>
    <col min="7" max="8" width="13" customWidth="1"/>
    <col min="9" max="9" width="18" customWidth="1"/>
    <col min="10" max="10" width="34" customWidth="1"/>
  </cols>
  <sheetData>
    <row r="1" spans="2:9" ht="15" customHeight="1" thickBot="1" x14ac:dyDescent="0.35"/>
    <row r="2" spans="2:9" ht="17.399999999999999" customHeight="1" x14ac:dyDescent="0.3">
      <c r="B2" s="237" t="s">
        <v>176</v>
      </c>
      <c r="C2" s="238"/>
      <c r="D2" s="238"/>
      <c r="E2" s="238"/>
      <c r="F2" s="238"/>
      <c r="G2" s="238"/>
      <c r="H2" s="238"/>
      <c r="I2" s="239"/>
    </row>
    <row r="3" spans="2:9" ht="15" customHeight="1" thickBot="1" x14ac:dyDescent="0.35">
      <c r="B3" s="258" t="s">
        <v>177</v>
      </c>
      <c r="C3" s="235"/>
      <c r="D3" s="235"/>
      <c r="E3" s="235"/>
      <c r="F3" s="235"/>
      <c r="G3" s="235"/>
      <c r="H3" s="235"/>
      <c r="I3" s="236"/>
    </row>
    <row r="4" spans="2:9" ht="15" customHeight="1" thickBot="1" x14ac:dyDescent="0.35"/>
    <row r="5" spans="2:9" ht="15" customHeight="1" thickBot="1" x14ac:dyDescent="0.35">
      <c r="B5" s="266" t="s">
        <v>178</v>
      </c>
      <c r="C5" s="267"/>
      <c r="D5" s="267"/>
      <c r="E5" s="267"/>
      <c r="F5" s="267"/>
      <c r="G5" s="267"/>
      <c r="H5" s="267"/>
      <c r="I5" s="268"/>
    </row>
    <row r="6" spans="2:9" x14ac:dyDescent="0.3">
      <c r="B6" s="86" t="s">
        <v>156</v>
      </c>
      <c r="C6" s="87" t="s">
        <v>157</v>
      </c>
      <c r="D6" s="87" t="s">
        <v>158</v>
      </c>
      <c r="E6" s="87" t="s">
        <v>159</v>
      </c>
      <c r="F6" s="87" t="s">
        <v>70</v>
      </c>
      <c r="G6" s="87" t="s">
        <v>160</v>
      </c>
      <c r="H6" s="87" t="s">
        <v>161</v>
      </c>
      <c r="I6" s="88" t="s">
        <v>162</v>
      </c>
    </row>
    <row r="7" spans="2:9" x14ac:dyDescent="0.3">
      <c r="B7" s="211" t="s">
        <v>163</v>
      </c>
      <c r="C7" s="127">
        <f>INDEX(LINEST('Ano 0 - Linha de Base'!$C$6:$C$57,'Ano 0 - Linha de Base'!$D$6:$J$57,TRUE(),TRUE()),1,8)</f>
        <v>116.8646921103968</v>
      </c>
      <c r="D7" s="127">
        <f>INDEX(LINEST('Ano 0 - Linha de Base'!$C$6:$C$57,'Ano 0 - Linha de Base'!$D$6:$J$57,TRUE(),TRUE()),2,8)</f>
        <v>20.029942417742493</v>
      </c>
      <c r="E7" s="128">
        <f t="shared" ref="E7:E14" si="0">C7/D7</f>
        <v>5.8344996542215837</v>
      </c>
      <c r="F7" s="127">
        <f t="shared" ref="F7:F14" si="1">TDIST(ABS(E7),$C$21,2)</f>
        <v>5.9052451129216811E-7</v>
      </c>
      <c r="G7" s="127">
        <f t="shared" ref="G7:G14" si="2">C7-TINV(alfa,$C$21)*D7</f>
        <v>76.496995643702832</v>
      </c>
      <c r="H7" s="127">
        <f t="shared" ref="H7:H14" si="3">C7+TINV(alfa,$C$21)*D7</f>
        <v>157.23238857709077</v>
      </c>
      <c r="I7" s="90" t="s">
        <v>137</v>
      </c>
    </row>
    <row r="8" spans="2:9" x14ac:dyDescent="0.3">
      <c r="B8" s="211" t="s">
        <v>74</v>
      </c>
      <c r="C8" s="127">
        <f>INDEX(LINEST('Ano 0 - Linha de Base'!$C$6:$C$57,'Ano 0 - Linha de Base'!$D$6:$J$57,TRUE(),TRUE()),1,7)</f>
        <v>2.5874120122249269</v>
      </c>
      <c r="D8" s="127">
        <f>INDEX(LINEST('Ano 0 - Linha de Base'!$C$6:$C$57,'Ano 0 - Linha de Base'!$D$6:$J$57,TRUE(),TRUE()),2,7)</f>
        <v>0.20384554787317472</v>
      </c>
      <c r="E8" s="128">
        <f t="shared" si="0"/>
        <v>12.693002320731187</v>
      </c>
      <c r="F8" s="127">
        <f t="shared" si="1"/>
        <v>2.6289110238743701E-16</v>
      </c>
      <c r="G8" s="127">
        <f t="shared" si="2"/>
        <v>2.1765883048466064</v>
      </c>
      <c r="H8" s="127">
        <f t="shared" si="3"/>
        <v>2.9982357196032474</v>
      </c>
      <c r="I8" s="90" t="str">
        <f t="shared" ref="I8:I14" si="4">IF(F8&lt;alfa,"Significativa","Não significativa")</f>
        <v>Significativa</v>
      </c>
    </row>
    <row r="9" spans="2:9" x14ac:dyDescent="0.3">
      <c r="B9" s="211" t="s">
        <v>75</v>
      </c>
      <c r="C9" s="127">
        <f>INDEX(LINEST('Ano 0 - Linha de Base'!$C$6:$C$57,'Ano 0 - Linha de Base'!$D$6:$J$57,TRUE(),TRUE()),1,6)</f>
        <v>1.3549386374307173</v>
      </c>
      <c r="D9" s="127">
        <f>INDEX(LINEST('Ano 0 - Linha de Base'!$C$6:$C$57,'Ano 0 - Linha de Base'!$D$6:$J$57,TRUE(),TRUE()),2,6)</f>
        <v>0.22458475067571165</v>
      </c>
      <c r="E9" s="128">
        <f t="shared" si="0"/>
        <v>6.0330838730327514</v>
      </c>
      <c r="F9" s="127">
        <f t="shared" si="1"/>
        <v>3.0172275622055666E-7</v>
      </c>
      <c r="G9" s="127">
        <f t="shared" si="2"/>
        <v>0.90231781320435056</v>
      </c>
      <c r="H9" s="127">
        <f t="shared" si="3"/>
        <v>1.807559461657084</v>
      </c>
      <c r="I9" s="90" t="str">
        <f t="shared" si="4"/>
        <v>Significativa</v>
      </c>
    </row>
    <row r="10" spans="2:9" x14ac:dyDescent="0.3">
      <c r="B10" s="211" t="s">
        <v>76</v>
      </c>
      <c r="C10" s="127">
        <f>INDEX(LINEST('Ano 0 - Linha de Base'!$C$6:$C$57,'Ano 0 - Linha de Base'!$D$6:$J$57,TRUE(),TRUE()),1,5)</f>
        <v>-2.5676049933371168E-2</v>
      </c>
      <c r="D10" s="127">
        <f>INDEX(LINEST('Ano 0 - Linha de Base'!$C$6:$C$57,'Ano 0 - Linha de Base'!$D$6:$J$57,TRUE(),TRUE()),2,5)</f>
        <v>0.15395213552165821</v>
      </c>
      <c r="E10" s="128">
        <f t="shared" si="0"/>
        <v>-0.16677943340226692</v>
      </c>
      <c r="F10" s="127">
        <f t="shared" si="1"/>
        <v>0.86830770284049141</v>
      </c>
      <c r="G10" s="127">
        <f t="shared" si="2"/>
        <v>-0.33594619188009328</v>
      </c>
      <c r="H10" s="127">
        <f t="shared" si="3"/>
        <v>0.2845940920133509</v>
      </c>
      <c r="I10" s="90" t="str">
        <f t="shared" si="4"/>
        <v>Não significativa</v>
      </c>
    </row>
    <row r="11" spans="2:9" x14ac:dyDescent="0.3">
      <c r="B11" s="211" t="s">
        <v>77</v>
      </c>
      <c r="C11" s="127">
        <f>INDEX(LINEST('Ano 0 - Linha de Base'!$C$6:$C$57,'Ano 0 - Linha de Base'!$D$6:$J$57,TRUE(),TRUE()),1,4)</f>
        <v>0.29489058051783845</v>
      </c>
      <c r="D11" s="127">
        <f>INDEX(LINEST('Ano 0 - Linha de Base'!$C$6:$C$57,'Ano 0 - Linha de Base'!$D$6:$J$57,TRUE(),TRUE()),2,4)</f>
        <v>0.49837329738927399</v>
      </c>
      <c r="E11" s="128">
        <f t="shared" si="0"/>
        <v>0.59170622114511606</v>
      </c>
      <c r="F11" s="127">
        <f t="shared" si="1"/>
        <v>0.55707549689979019</v>
      </c>
      <c r="G11" s="127">
        <f t="shared" si="2"/>
        <v>-0.70951480300912373</v>
      </c>
      <c r="H11" s="127">
        <f t="shared" si="3"/>
        <v>1.2992959640448007</v>
      </c>
      <c r="I11" s="90" t="str">
        <f t="shared" si="4"/>
        <v>Não significativa</v>
      </c>
    </row>
    <row r="12" spans="2:9" x14ac:dyDescent="0.3">
      <c r="B12" s="211" t="s">
        <v>78</v>
      </c>
      <c r="C12" s="127">
        <f>INDEX(LINEST('Ano 0 - Linha de Base'!$C$6:$C$57,'Ano 0 - Linha de Base'!$D$6:$J$57,TRUE(),TRUE()),1,3)</f>
        <v>3.4104952080661307E-3</v>
      </c>
      <c r="D12" s="127">
        <f>INDEX(LINEST('Ano 0 - Linha de Base'!$C$6:$C$57,'Ano 0 - Linha de Base'!$D$6:$J$57,TRUE(),TRUE()),2,3)</f>
        <v>7.034612836653234E-2</v>
      </c>
      <c r="E12" s="128">
        <f t="shared" si="0"/>
        <v>4.8481633421189066E-2</v>
      </c>
      <c r="F12" s="127">
        <f t="shared" si="1"/>
        <v>0.96155180409073182</v>
      </c>
      <c r="G12" s="127">
        <f t="shared" si="2"/>
        <v>-0.13836281088950186</v>
      </c>
      <c r="H12" s="127">
        <f t="shared" si="3"/>
        <v>0.14518380130563413</v>
      </c>
      <c r="I12" s="90" t="str">
        <f t="shared" si="4"/>
        <v>Não significativa</v>
      </c>
    </row>
    <row r="13" spans="2:9" x14ac:dyDescent="0.3">
      <c r="B13" s="211" t="s">
        <v>79</v>
      </c>
      <c r="C13" s="127">
        <f>INDEX(LINEST('Ano 0 - Linha de Base'!$C$6:$C$57,'Ano 0 - Linha de Base'!$D$6:$J$57,TRUE(),TRUE()),1,2)</f>
        <v>1.9749882098972709</v>
      </c>
      <c r="D13" s="127">
        <f>INDEX(LINEST('Ano 0 - Linha de Base'!$C$6:$C$57,'Ano 0 - Linha de Base'!$D$6:$J$57,TRUE(),TRUE()),2,2)</f>
        <v>0.26612698201005114</v>
      </c>
      <c r="E13" s="128">
        <f t="shared" si="0"/>
        <v>7.42122499184498</v>
      </c>
      <c r="F13" s="127">
        <f t="shared" si="1"/>
        <v>2.7719659027662072E-9</v>
      </c>
      <c r="G13" s="127">
        <f t="shared" si="2"/>
        <v>1.4386445196696347</v>
      </c>
      <c r="H13" s="127">
        <f t="shared" si="3"/>
        <v>2.5113319001249073</v>
      </c>
      <c r="I13" s="90" t="str">
        <f t="shared" si="4"/>
        <v>Significativa</v>
      </c>
    </row>
    <row r="14" spans="2:9" ht="15" customHeight="1" thickBot="1" x14ac:dyDescent="0.35">
      <c r="B14" s="27" t="s">
        <v>80</v>
      </c>
      <c r="C14" s="212">
        <f>INDEX(LINEST('Ano 0 - Linha de Base'!$C$6:$C$57,'Ano 0 - Linha de Base'!$D$6:$J$57,TRUE(),TRUE()),1,1)</f>
        <v>-17.11258489316733</v>
      </c>
      <c r="D14" s="212">
        <f>INDEX(LINEST('Ano 0 - Linha de Base'!$C$6:$C$57,'Ano 0 - Linha de Base'!$D$6:$J$57,TRUE(),TRUE()),2,1)</f>
        <v>18.121880229938871</v>
      </c>
      <c r="E14" s="213">
        <f t="shared" si="0"/>
        <v>-0.94430515355111444</v>
      </c>
      <c r="F14" s="212">
        <f t="shared" si="1"/>
        <v>0.35017046802183294</v>
      </c>
      <c r="G14" s="212">
        <f t="shared" si="2"/>
        <v>-53.634834696539649</v>
      </c>
      <c r="H14" s="212">
        <f t="shared" si="3"/>
        <v>19.409664910204988</v>
      </c>
      <c r="I14" s="93" t="str">
        <f t="shared" si="4"/>
        <v>Não significativa</v>
      </c>
    </row>
    <row r="15" spans="2:9" ht="15" customHeight="1" thickBot="1" x14ac:dyDescent="0.35">
      <c r="B15" s="123"/>
      <c r="C15" s="124"/>
      <c r="D15" s="124"/>
      <c r="E15" s="125"/>
      <c r="F15" s="124"/>
      <c r="G15" s="124"/>
      <c r="H15" s="124"/>
      <c r="I15" s="126"/>
    </row>
    <row r="16" spans="2:9" ht="15" customHeight="1" thickBot="1" x14ac:dyDescent="0.35">
      <c r="B16" s="263" t="s">
        <v>164</v>
      </c>
      <c r="C16" s="239"/>
    </row>
    <row r="17" spans="2:9" x14ac:dyDescent="0.3">
      <c r="B17" s="130" t="s">
        <v>127</v>
      </c>
      <c r="C17" s="131">
        <f>INDEX(LINEST('Ano 0 - Linha de Base'!$C$6:$C$57,'Ano 0 - Linha de Base'!$D$6:$J$57,TRUE(),TRUE()),3,1)</f>
        <v>0.95266178298942716</v>
      </c>
    </row>
    <row r="18" spans="2:9" x14ac:dyDescent="0.3">
      <c r="B18" s="89" t="s">
        <v>19</v>
      </c>
      <c r="C18" s="132">
        <f>1-(1-C17)*(COUNT('Ano 0 - Linha de Base'!$C$6:$C$57)-1)/C21</f>
        <v>0.94513070301047242</v>
      </c>
    </row>
    <row r="19" spans="2:9" x14ac:dyDescent="0.3">
      <c r="B19" s="89" t="s">
        <v>165</v>
      </c>
      <c r="C19" s="133">
        <f>INDEX(LINEST('Ano 0 - Linha de Base'!$C$6:$C$57,'Ano 0 - Linha de Base'!$D$6:$J$57,TRUE(),TRUE()),3,2)</f>
        <v>3.5591938418683644</v>
      </c>
    </row>
    <row r="20" spans="2:9" x14ac:dyDescent="0.3">
      <c r="B20" s="89" t="s">
        <v>166</v>
      </c>
      <c r="C20" s="134">
        <f>INDEX(LINEST('Ano 0 - Linha de Base'!$C$6:$C$57,'Ano 0 - Linha de Base'!$D$6:$J$57,TRUE(),TRUE()),4,1)</f>
        <v>126.49736633412397</v>
      </c>
    </row>
    <row r="21" spans="2:9" x14ac:dyDescent="0.3">
      <c r="B21" s="89" t="s">
        <v>167</v>
      </c>
      <c r="C21" s="135">
        <f>INDEX(LINEST('Ano 0 - Linha de Base'!$C$6:$C$57,'Ano 0 - Linha de Base'!$D$6:$J$57,TRUE(),TRUE()),4,2)</f>
        <v>44</v>
      </c>
    </row>
    <row r="22" spans="2:9" x14ac:dyDescent="0.3">
      <c r="B22" s="89" t="s">
        <v>168</v>
      </c>
      <c r="C22" s="136">
        <f>INDEX(LINEST('Ano 0 - Linha de Base'!$C$6:$C$57,'Ano 0 - Linha de Base'!$D$6:$J$57,TRUE(),TRUE()),5,1)</f>
        <v>11217.157201547358</v>
      </c>
    </row>
    <row r="23" spans="2:9" x14ac:dyDescent="0.3">
      <c r="B23" s="89" t="s">
        <v>169</v>
      </c>
      <c r="C23" s="136">
        <f>INDEX(LINEST('Ano 0 - Linha de Base'!$C$6:$C$57,'Ano 0 - Linha de Base'!$D$6:$J$57,TRUE(),TRUE()),5,2)</f>
        <v>557.38587537572232</v>
      </c>
    </row>
    <row r="24" spans="2:9" ht="15" customHeight="1" thickBot="1" x14ac:dyDescent="0.35">
      <c r="B24" s="91" t="s">
        <v>20</v>
      </c>
      <c r="C24" s="137">
        <f>C19/AVERAGE('Ano 0 - Linha de Base'!$C$6:$C$57)</f>
        <v>1.3660915247797091E-2</v>
      </c>
    </row>
    <row r="26" spans="2:9" ht="15" customHeight="1" thickBot="1" x14ac:dyDescent="0.35"/>
    <row r="27" spans="2:9" x14ac:dyDescent="0.3">
      <c r="B27" s="259" t="s">
        <v>179</v>
      </c>
      <c r="C27" s="261"/>
      <c r="D27" s="261"/>
      <c r="E27" s="261"/>
      <c r="F27" s="261"/>
      <c r="G27" s="261"/>
      <c r="H27" s="261"/>
      <c r="I27" s="260"/>
    </row>
    <row r="28" spans="2:9" x14ac:dyDescent="0.3">
      <c r="B28" s="200" t="s">
        <v>156</v>
      </c>
      <c r="C28" s="36" t="s">
        <v>157</v>
      </c>
      <c r="D28" s="36" t="s">
        <v>158</v>
      </c>
      <c r="E28" s="36" t="s">
        <v>159</v>
      </c>
      <c r="F28" s="36" t="s">
        <v>70</v>
      </c>
      <c r="G28" s="36" t="s">
        <v>160</v>
      </c>
      <c r="H28" s="36" t="s">
        <v>161</v>
      </c>
      <c r="I28" s="201" t="s">
        <v>162</v>
      </c>
    </row>
    <row r="29" spans="2:9" x14ac:dyDescent="0.3">
      <c r="B29" s="211" t="s">
        <v>163</v>
      </c>
      <c r="C29" s="127">
        <f>INDEX(LINEST('Ano 0 - Linha de Base'!$C$6:$C$57,Aux_X!$B$7:$G$58,TRUE(),TRUE()),1,7)</f>
        <v>117.35587453336508</v>
      </c>
      <c r="D29" s="127">
        <f>INDEX(LINEST('Ano 0 - Linha de Base'!$C$6:$C$57,Aux_X!$B$7:$G$58,TRUE(),TRUE()),2,7)</f>
        <v>17.08614059600972</v>
      </c>
      <c r="E29" s="128">
        <f t="shared" ref="E29:E35" si="5">C29/D29</f>
        <v>6.8684834865968654</v>
      </c>
      <c r="F29" s="127">
        <f t="shared" ref="F29:F35" si="6">TDIST(ABS(E29),$C$42,2)</f>
        <v>1.5970515251419878E-8</v>
      </c>
      <c r="G29" s="127">
        <f t="shared" ref="G29:G35" si="7">C29-TINV(alfa,$C$42)*D29</f>
        <v>82.942620856047313</v>
      </c>
      <c r="H29" s="127">
        <f t="shared" ref="H29:H35" si="8">C29+TINV(alfa,$C$42)*D29</f>
        <v>151.76912821068285</v>
      </c>
      <c r="I29" s="90" t="s">
        <v>137</v>
      </c>
    </row>
    <row r="30" spans="2:9" x14ac:dyDescent="0.3">
      <c r="B30" s="211" t="s">
        <v>74</v>
      </c>
      <c r="C30" s="127">
        <f>INDEX(LINEST('Ano 0 - Linha de Base'!$C$6:$C$57,Aux_X!$B$7:$G$58,TRUE(),TRUE()),1,6)</f>
        <v>2.5899391134147627</v>
      </c>
      <c r="D30" s="127">
        <f>INDEX(LINEST('Ano 0 - Linha de Base'!$C$6:$C$57,Aux_X!$B$7:$G$58,TRUE(),TRUE()),2,6)</f>
        <v>0.19487176947928794</v>
      </c>
      <c r="E30" s="128">
        <f t="shared" si="5"/>
        <v>13.290478761163175</v>
      </c>
      <c r="F30" s="127">
        <f t="shared" si="6"/>
        <v>3.4690892734979023E-17</v>
      </c>
      <c r="G30" s="127">
        <f t="shared" si="7"/>
        <v>2.197447222109322</v>
      </c>
      <c r="H30" s="127">
        <f t="shared" si="8"/>
        <v>2.9824310047202034</v>
      </c>
      <c r="I30" s="90" t="str">
        <f t="shared" ref="I30:I35" si="9">IF(F30&lt;alfa,"Significativa","Não significativa")</f>
        <v>Significativa</v>
      </c>
    </row>
    <row r="31" spans="2:9" x14ac:dyDescent="0.3">
      <c r="B31" s="211" t="s">
        <v>75</v>
      </c>
      <c r="C31" s="127">
        <f>INDEX(LINEST('Ano 0 - Linha de Base'!$C$6:$C$57,Aux_X!$B$7:$G$58,TRUE(),TRUE()),1,5)</f>
        <v>1.3526469128998142</v>
      </c>
      <c r="D31" s="127">
        <f>INDEX(LINEST('Ano 0 - Linha de Base'!$C$6:$C$57,Aux_X!$B$7:$G$58,TRUE(),TRUE()),2,5)</f>
        <v>0.21710638560461865</v>
      </c>
      <c r="E31" s="128">
        <f t="shared" si="5"/>
        <v>6.230341448192938</v>
      </c>
      <c r="F31" s="127">
        <f t="shared" si="6"/>
        <v>1.4197839388508482E-7</v>
      </c>
      <c r="G31" s="127">
        <f t="shared" si="7"/>
        <v>0.9153722059058802</v>
      </c>
      <c r="H31" s="127">
        <f t="shared" si="8"/>
        <v>1.7899216198937482</v>
      </c>
      <c r="I31" s="90" t="str">
        <f t="shared" si="9"/>
        <v>Significativa</v>
      </c>
    </row>
    <row r="32" spans="2:9" x14ac:dyDescent="0.3">
      <c r="B32" s="211" t="s">
        <v>76</v>
      </c>
      <c r="C32" s="127">
        <f>INDEX(LINEST('Ano 0 - Linha de Base'!$C$6:$C$57,Aux_X!$B$7:$G$58,TRUE(),TRUE()),1,4)</f>
        <v>-2.6333387887447875E-2</v>
      </c>
      <c r="D32" s="127">
        <f>INDEX(LINEST('Ano 0 - Linha de Base'!$C$6:$C$57,Aux_X!$B$7:$G$58,TRUE(),TRUE()),2,4)</f>
        <v>0.15164447284529725</v>
      </c>
      <c r="E32" s="128">
        <f t="shared" si="5"/>
        <v>-0.1736521443436474</v>
      </c>
      <c r="F32" s="127">
        <f t="shared" si="6"/>
        <v>0.86291766642050527</v>
      </c>
      <c r="G32" s="127">
        <f t="shared" si="7"/>
        <v>-0.33176103455021044</v>
      </c>
      <c r="H32" s="127">
        <f t="shared" si="8"/>
        <v>0.27909425877531469</v>
      </c>
      <c r="I32" s="90" t="str">
        <f t="shared" si="9"/>
        <v>Não significativa</v>
      </c>
    </row>
    <row r="33" spans="2:9" x14ac:dyDescent="0.3">
      <c r="B33" s="211" t="s">
        <v>77</v>
      </c>
      <c r="C33" s="127">
        <f>INDEX(LINEST('Ano 0 - Linha de Base'!$C$6:$C$57,Aux_X!$B$7:$G$58,TRUE(),TRUE()),1,3)</f>
        <v>0.29377749376547185</v>
      </c>
      <c r="D33" s="127">
        <f>INDEX(LINEST('Ano 0 - Linha de Base'!$C$6:$C$57,Aux_X!$B$7:$G$58,TRUE(),TRUE()),2,3)</f>
        <v>0.49229465239864389</v>
      </c>
      <c r="E33" s="128">
        <f t="shared" si="5"/>
        <v>0.59675134055200052</v>
      </c>
      <c r="F33" s="127">
        <f t="shared" si="6"/>
        <v>0.55366401916390928</v>
      </c>
      <c r="G33" s="127">
        <f t="shared" si="7"/>
        <v>-0.69775483395855487</v>
      </c>
      <c r="H33" s="127">
        <f t="shared" si="8"/>
        <v>1.2853098214894985</v>
      </c>
      <c r="I33" s="90" t="str">
        <f t="shared" si="9"/>
        <v>Não significativa</v>
      </c>
    </row>
    <row r="34" spans="2:9" x14ac:dyDescent="0.3">
      <c r="B34" s="211" t="s">
        <v>79</v>
      </c>
      <c r="C34" s="127">
        <f>INDEX(LINEST('Ano 0 - Linha de Base'!$C$6:$C$57,Aux_X!$B$7:$G$58,TRUE(),TRUE()),1,2)</f>
        <v>1.9759932855549904</v>
      </c>
      <c r="D34" s="127">
        <f>INDEX(LINEST('Ano 0 - Linha de Base'!$C$6:$C$57,Aux_X!$B$7:$G$58,TRUE(),TRUE()),2,2)</f>
        <v>0.26236075168859208</v>
      </c>
      <c r="E34" s="128">
        <f t="shared" si="5"/>
        <v>7.531588748839944</v>
      </c>
      <c r="F34" s="127">
        <f t="shared" si="6"/>
        <v>1.6705767558413611E-9</v>
      </c>
      <c r="G34" s="127">
        <f t="shared" si="7"/>
        <v>1.4475716064696711</v>
      </c>
      <c r="H34" s="127">
        <f t="shared" si="8"/>
        <v>2.5044149646403095</v>
      </c>
      <c r="I34" s="90" t="str">
        <f t="shared" si="9"/>
        <v>Significativa</v>
      </c>
    </row>
    <row r="35" spans="2:9" ht="15" customHeight="1" thickBot="1" x14ac:dyDescent="0.35">
      <c r="B35" s="27" t="s">
        <v>80</v>
      </c>
      <c r="C35" s="212">
        <f>INDEX(LINEST('Ano 0 - Linha de Base'!$C$6:$C$57,Aux_X!$B$7:$G$58,TRUE(),TRUE()),1,1)</f>
        <v>-16.991320924649497</v>
      </c>
      <c r="D35" s="212">
        <f>INDEX(LINEST('Ano 0 - Linha de Base'!$C$6:$C$57,Aux_X!$B$7:$G$58,TRUE(),TRUE()),2,1)</f>
        <v>17.748362852072386</v>
      </c>
      <c r="E35" s="213">
        <f t="shared" si="5"/>
        <v>-0.95734581641514649</v>
      </c>
      <c r="F35" s="212">
        <f t="shared" si="6"/>
        <v>0.3435080584810245</v>
      </c>
      <c r="G35" s="212">
        <f t="shared" si="7"/>
        <v>-52.738358692095403</v>
      </c>
      <c r="H35" s="212">
        <f t="shared" si="8"/>
        <v>18.755716842796406</v>
      </c>
      <c r="I35" s="93" t="str">
        <f t="shared" si="9"/>
        <v>Não significativa</v>
      </c>
    </row>
    <row r="36" spans="2:9" ht="15" customHeight="1" thickBot="1" x14ac:dyDescent="0.35">
      <c r="B36" s="123"/>
      <c r="C36" s="124"/>
      <c r="D36" s="124"/>
      <c r="E36" s="125"/>
      <c r="F36" s="124"/>
      <c r="G36" s="124"/>
      <c r="H36" s="124"/>
      <c r="I36" s="126"/>
    </row>
    <row r="37" spans="2:9" ht="15" customHeight="1" thickBot="1" x14ac:dyDescent="0.35">
      <c r="B37" s="263" t="s">
        <v>164</v>
      </c>
      <c r="C37" s="239"/>
    </row>
    <row r="38" spans="2:9" x14ac:dyDescent="0.3">
      <c r="B38" s="130" t="s">
        <v>127</v>
      </c>
      <c r="C38" s="131">
        <f>INDEX(LINEST('Ano 0 - Linha de Base'!$C$6:$C$57,Aux_X!$B$7:$G$58,TRUE(),TRUE()),3,1)</f>
        <v>0.95265925419394659</v>
      </c>
    </row>
    <row r="39" spans="2:9" x14ac:dyDescent="0.3">
      <c r="B39" s="89" t="s">
        <v>19</v>
      </c>
      <c r="C39" s="132">
        <f>1-(1-C38)*(COUNT('Ano 0 - Linha de Base'!$C$6:$C$57)-1)/C42</f>
        <v>0.94634715475313946</v>
      </c>
    </row>
    <row r="40" spans="2:9" x14ac:dyDescent="0.3">
      <c r="B40" s="89" t="s">
        <v>165</v>
      </c>
      <c r="C40" s="133">
        <f>INDEX(LINEST('Ano 0 - Linha de Base'!$C$6:$C$57,Aux_X!$B$7:$G$58,TRUE(),TRUE()),3,2)</f>
        <v>3.5195190668519256</v>
      </c>
    </row>
    <row r="41" spans="2:9" x14ac:dyDescent="0.3">
      <c r="B41" s="89" t="s">
        <v>166</v>
      </c>
      <c r="C41" s="134">
        <f>INDEX(LINEST('Ano 0 - Linha de Base'!$C$6:$C$57,Aux_X!$B$7:$G$58,TRUE(),TRUE()),4,1)</f>
        <v>150.9258944868796</v>
      </c>
    </row>
    <row r="42" spans="2:9" x14ac:dyDescent="0.3">
      <c r="B42" s="89" t="s">
        <v>167</v>
      </c>
      <c r="C42" s="135">
        <f>INDEX(LINEST('Ano 0 - Linha de Base'!$C$6:$C$57,Aux_X!$B$7:$G$58,TRUE(),TRUE()),4,2)</f>
        <v>45</v>
      </c>
    </row>
    <row r="43" spans="2:9" x14ac:dyDescent="0.3">
      <c r="B43" s="89" t="s">
        <v>168</v>
      </c>
      <c r="C43" s="136">
        <f>INDEX(LINEST('Ano 0 - Linha de Base'!$C$6:$C$57,Aux_X!$B$7:$G$58,TRUE(),TRUE()),5,1)</f>
        <v>11217.12742613604</v>
      </c>
    </row>
    <row r="44" spans="2:9" x14ac:dyDescent="0.3">
      <c r="B44" s="89" t="s">
        <v>169</v>
      </c>
      <c r="C44" s="136">
        <f>INDEX(LINEST('Ano 0 - Linha de Base'!$C$6:$C$57,Aux_X!$B$7:$G$58,TRUE(),TRUE()),5,2)</f>
        <v>557.41565078704116</v>
      </c>
    </row>
    <row r="45" spans="2:9" ht="15" customHeight="1" thickBot="1" x14ac:dyDescent="0.35">
      <c r="B45" s="91" t="s">
        <v>20</v>
      </c>
      <c r="C45" s="137">
        <f>C40/AVERAGE('Ano 0 - Linha de Base'!$C$6:$C$57)</f>
        <v>1.3508635331879256E-2</v>
      </c>
    </row>
    <row r="47" spans="2:9" ht="15" customHeight="1" thickBot="1" x14ac:dyDescent="0.35"/>
    <row r="48" spans="2:9" x14ac:dyDescent="0.3">
      <c r="B48" s="259" t="s">
        <v>180</v>
      </c>
      <c r="C48" s="261"/>
      <c r="D48" s="261"/>
      <c r="E48" s="261"/>
      <c r="F48" s="261"/>
      <c r="G48" s="261"/>
      <c r="H48" s="261"/>
      <c r="I48" s="260"/>
    </row>
    <row r="49" spans="2:9" x14ac:dyDescent="0.3">
      <c r="B49" s="200" t="s">
        <v>156</v>
      </c>
      <c r="C49" s="36" t="s">
        <v>157</v>
      </c>
      <c r="D49" s="36" t="s">
        <v>158</v>
      </c>
      <c r="E49" s="36" t="s">
        <v>159</v>
      </c>
      <c r="F49" s="36" t="s">
        <v>70</v>
      </c>
      <c r="G49" s="36" t="s">
        <v>160</v>
      </c>
      <c r="H49" s="36" t="s">
        <v>161</v>
      </c>
      <c r="I49" s="201" t="s">
        <v>162</v>
      </c>
    </row>
    <row r="50" spans="2:9" x14ac:dyDescent="0.3">
      <c r="B50" s="211" t="s">
        <v>163</v>
      </c>
      <c r="C50" s="127">
        <f>INDEX(LINEST('Ano 0 - Linha de Base'!$C$6:$C$57,Aux_X!$I$7:$M$58,TRUE(),TRUE()),1,6)</f>
        <v>115.19281613080732</v>
      </c>
      <c r="D50" s="127">
        <f>INDEX(LINEST('Ano 0 - Linha de Base'!$C$6:$C$57,Aux_X!$I$7:$M$58,TRUE(),TRUE()),2,6)</f>
        <v>11.57124540149224</v>
      </c>
      <c r="E50" s="128">
        <f t="shared" ref="E50:E55" si="10">C50/D50</f>
        <v>9.9550923114941394</v>
      </c>
      <c r="F50" s="127">
        <f t="shared" ref="F50:F55" si="11">TDIST(ABS(E50),$C$62,2)</f>
        <v>4.6957179175454028E-13</v>
      </c>
      <c r="G50" s="127">
        <f t="shared" ref="G50:G55" si="12">C50-TINV(alfa,$C$62)*D50</f>
        <v>91.9011071881269</v>
      </c>
      <c r="H50" s="127">
        <f t="shared" ref="H50:H55" si="13">C50+TINV(alfa,$C$62)*D50</f>
        <v>138.48452507348773</v>
      </c>
      <c r="I50" s="90" t="s">
        <v>137</v>
      </c>
    </row>
    <row r="51" spans="2:9" x14ac:dyDescent="0.3">
      <c r="B51" s="211" t="s">
        <v>74</v>
      </c>
      <c r="C51" s="127">
        <f>INDEX(LINEST('Ano 0 - Linha de Base'!$C$6:$C$57,Aux_X!$I$7:$M$58,TRUE(),TRUE()),1,5)</f>
        <v>2.5934888309512272</v>
      </c>
      <c r="D51" s="127">
        <f>INDEX(LINEST('Ano 0 - Linha de Base'!$C$6:$C$57,Aux_X!$I$7:$M$58,TRUE(),TRUE()),2,5)</f>
        <v>0.19174282394623779</v>
      </c>
      <c r="E51" s="128">
        <f t="shared" si="10"/>
        <v>13.525871673186622</v>
      </c>
      <c r="F51" s="127">
        <f t="shared" si="11"/>
        <v>1.2136348690777705E-17</v>
      </c>
      <c r="G51" s="127">
        <f t="shared" si="12"/>
        <v>2.2075305445054623</v>
      </c>
      <c r="H51" s="127">
        <f t="shared" si="13"/>
        <v>2.9794471173969921</v>
      </c>
      <c r="I51" s="90" t="str">
        <f>IF(F51&lt;alfa,"Significativa","Não significativa")</f>
        <v>Significativa</v>
      </c>
    </row>
    <row r="52" spans="2:9" x14ac:dyDescent="0.3">
      <c r="B52" s="211" t="s">
        <v>75</v>
      </c>
      <c r="C52" s="127">
        <f>INDEX(LINEST('Ano 0 - Linha de Base'!$C$6:$C$57,Aux_X!$I$7:$M$58,TRUE(),TRUE()),1,4)</f>
        <v>1.358821166599804</v>
      </c>
      <c r="D52" s="127">
        <f>INDEX(LINEST('Ano 0 - Linha de Base'!$C$6:$C$57,Aux_X!$I$7:$M$58,TRUE(),TRUE()),2,4)</f>
        <v>0.21190535209757025</v>
      </c>
      <c r="E52" s="128">
        <f t="shared" si="10"/>
        <v>6.4123966343905501</v>
      </c>
      <c r="F52" s="127">
        <f t="shared" si="11"/>
        <v>6.9578945846954454E-8</v>
      </c>
      <c r="G52" s="127">
        <f t="shared" si="12"/>
        <v>0.9322778159751326</v>
      </c>
      <c r="H52" s="127">
        <f t="shared" si="13"/>
        <v>1.7853645172244754</v>
      </c>
      <c r="I52" s="90" t="str">
        <f>IF(F52&lt;alfa,"Significativa","Não significativa")</f>
        <v>Significativa</v>
      </c>
    </row>
    <row r="53" spans="2:9" x14ac:dyDescent="0.3">
      <c r="B53" s="211" t="s">
        <v>77</v>
      </c>
      <c r="C53" s="127">
        <f>INDEX(LINEST('Ano 0 - Linha de Base'!$C$6:$C$57,Aux_X!$I$7:$M$58,TRUE(),TRUE()),1,3)</f>
        <v>0.29146229566506293</v>
      </c>
      <c r="D53" s="127">
        <f>INDEX(LINEST('Ano 0 - Linha de Base'!$C$6:$C$57,Aux_X!$I$7:$M$58,TRUE(),TRUE()),2,3)</f>
        <v>0.48689868352685201</v>
      </c>
      <c r="E53" s="128">
        <f t="shared" si="10"/>
        <v>0.59860974269606759</v>
      </c>
      <c r="F53" s="127">
        <f t="shared" si="11"/>
        <v>0.55236963760937585</v>
      </c>
      <c r="G53" s="127">
        <f t="shared" si="12"/>
        <v>-0.68861392152580181</v>
      </c>
      <c r="H53" s="127">
        <f t="shared" si="13"/>
        <v>1.2715385128559276</v>
      </c>
      <c r="I53" s="90" t="str">
        <f>IF(F53&lt;alfa,"Significativa","Não significativa")</f>
        <v>Não significativa</v>
      </c>
    </row>
    <row r="54" spans="2:9" x14ac:dyDescent="0.3">
      <c r="B54" s="211" t="s">
        <v>79</v>
      </c>
      <c r="C54" s="127">
        <f>INDEX(LINEST('Ano 0 - Linha de Base'!$C$6:$C$57,Aux_X!$I$7:$M$58,TRUE(),TRUE()),1,2)</f>
        <v>1.9730892144252989</v>
      </c>
      <c r="D54" s="127">
        <f>INDEX(LINEST('Ano 0 - Linha de Base'!$C$6:$C$57,Aux_X!$I$7:$M$58,TRUE(),TRUE()),2,2)</f>
        <v>0.25905237951517357</v>
      </c>
      <c r="E54" s="128">
        <f t="shared" si="10"/>
        <v>7.6165647199149875</v>
      </c>
      <c r="F54" s="127">
        <f t="shared" si="11"/>
        <v>1.0928929633856894E-9</v>
      </c>
      <c r="G54" s="127">
        <f t="shared" si="12"/>
        <v>1.4516438198096002</v>
      </c>
      <c r="H54" s="127">
        <f t="shared" si="13"/>
        <v>2.4945346090409979</v>
      </c>
      <c r="I54" s="90" t="str">
        <f>IF(F54&lt;alfa,"Significativa","Não significativa")</f>
        <v>Significativa</v>
      </c>
    </row>
    <row r="55" spans="2:9" ht="15" customHeight="1" thickBot="1" x14ac:dyDescent="0.35">
      <c r="B55" s="27" t="s">
        <v>80</v>
      </c>
      <c r="C55" s="212">
        <f>INDEX(LINEST('Ano 0 - Linha de Base'!$C$6:$C$57,Aux_X!$I$7:$M$58,TRUE(),TRUE()),1,1)</f>
        <v>-17.346952616416754</v>
      </c>
      <c r="D55" s="212">
        <f>INDEX(LINEST('Ano 0 - Linha de Base'!$C$6:$C$57,Aux_X!$I$7:$M$58,TRUE(),TRUE()),2,1)</f>
        <v>17.442971978480838</v>
      </c>
      <c r="E55" s="213">
        <f t="shared" si="10"/>
        <v>-0.99449524070883444</v>
      </c>
      <c r="F55" s="212">
        <f t="shared" si="11"/>
        <v>0.32518458918408122</v>
      </c>
      <c r="G55" s="212">
        <f t="shared" si="12"/>
        <v>-52.457834143975774</v>
      </c>
      <c r="H55" s="212">
        <f t="shared" si="13"/>
        <v>17.763928911142262</v>
      </c>
      <c r="I55" s="93" t="str">
        <f>IF(F55&lt;alfa,"Significativa","Não significativa")</f>
        <v>Não significativa</v>
      </c>
    </row>
    <row r="56" spans="2:9" ht="15" customHeight="1" thickBot="1" x14ac:dyDescent="0.35">
      <c r="B56" s="197"/>
      <c r="C56" s="198"/>
      <c r="D56" s="198"/>
      <c r="E56" s="199"/>
      <c r="F56" s="198"/>
      <c r="G56" s="198"/>
      <c r="H56" s="198"/>
      <c r="I56" s="126"/>
    </row>
    <row r="57" spans="2:9" ht="15" customHeight="1" thickBot="1" x14ac:dyDescent="0.35">
      <c r="B57" s="263" t="s">
        <v>164</v>
      </c>
      <c r="C57" s="239"/>
    </row>
    <row r="58" spans="2:9" x14ac:dyDescent="0.3">
      <c r="B58" s="130" t="s">
        <v>127</v>
      </c>
      <c r="C58" s="131">
        <f>INDEX(LINEST('Ano 0 - Linha de Base'!$C$6:$C$57,Aux_X!$I$7:$M$58,TRUE(),TRUE()),3,1)</f>
        <v>0.95262753056344118</v>
      </c>
    </row>
    <row r="59" spans="2:9" x14ac:dyDescent="0.3">
      <c r="B59" s="89" t="s">
        <v>19</v>
      </c>
      <c r="C59" s="132">
        <f>1-(1-C58)*(COUNT('Ano 0 - Linha de Base'!$C$6:$C$57)-1)/C62</f>
        <v>0.9474783491029457</v>
      </c>
    </row>
    <row r="60" spans="2:9" x14ac:dyDescent="0.3">
      <c r="B60" s="89" t="s">
        <v>165</v>
      </c>
      <c r="C60" s="133">
        <f>INDEX(LINEST('Ano 0 - Linha de Base'!$C$6:$C$57,Aux_X!$I$7:$M$58,TRUE(),TRUE()),3,2)</f>
        <v>3.4822193761306384</v>
      </c>
    </row>
    <row r="61" spans="2:9" x14ac:dyDescent="0.3">
      <c r="B61" s="89" t="s">
        <v>166</v>
      </c>
      <c r="C61" s="134">
        <f>INDEX(LINEST('Ano 0 - Linha de Base'!$C$6:$C$57,Aux_X!$I$7:$M$58,TRUE(),TRUE()),4,1)</f>
        <v>185.00562426707842</v>
      </c>
    </row>
    <row r="62" spans="2:9" x14ac:dyDescent="0.3">
      <c r="B62" s="89" t="s">
        <v>167</v>
      </c>
      <c r="C62" s="135">
        <f>INDEX(LINEST('Ano 0 - Linha de Base'!$C$6:$C$57,Aux_X!$I$7:$M$58,TRUE(),TRUE()),4,2)</f>
        <v>46</v>
      </c>
    </row>
    <row r="63" spans="2:9" x14ac:dyDescent="0.3">
      <c r="B63" s="89" t="s">
        <v>168</v>
      </c>
      <c r="C63" s="136">
        <f>INDEX(LINEST('Ano 0 - Linha de Base'!$C$6:$C$57,Aux_X!$I$7:$M$58,TRUE(),TRUE()),5,1)</f>
        <v>11216.753894882097</v>
      </c>
    </row>
    <row r="64" spans="2:9" x14ac:dyDescent="0.3">
      <c r="B64" s="89" t="s">
        <v>169</v>
      </c>
      <c r="C64" s="136">
        <f>INDEX(LINEST('Ano 0 - Linha de Base'!$C$6:$C$57,Aux_X!$I$7:$M$58,TRUE(),TRUE()),5,2)</f>
        <v>557.78918204098397</v>
      </c>
    </row>
    <row r="65" spans="2:9" ht="15" customHeight="1" thickBot="1" x14ac:dyDescent="0.35">
      <c r="B65" s="91" t="s">
        <v>20</v>
      </c>
      <c r="C65" s="137">
        <f>C60/AVERAGE('Ano 0 - Linha de Base'!$C$6:$C$57)</f>
        <v>1.336547147614358E-2</v>
      </c>
    </row>
    <row r="67" spans="2:9" ht="15" customHeight="1" thickBot="1" x14ac:dyDescent="0.35"/>
    <row r="68" spans="2:9" x14ac:dyDescent="0.3">
      <c r="B68" s="259" t="s">
        <v>181</v>
      </c>
      <c r="C68" s="261"/>
      <c r="D68" s="261"/>
      <c r="E68" s="261"/>
      <c r="F68" s="261"/>
      <c r="G68" s="261"/>
      <c r="H68" s="261"/>
      <c r="I68" s="260"/>
    </row>
    <row r="69" spans="2:9" x14ac:dyDescent="0.3">
      <c r="B69" s="200" t="s">
        <v>156</v>
      </c>
      <c r="C69" s="36" t="s">
        <v>157</v>
      </c>
      <c r="D69" s="36" t="s">
        <v>158</v>
      </c>
      <c r="E69" s="36" t="s">
        <v>159</v>
      </c>
      <c r="F69" s="36" t="s">
        <v>70</v>
      </c>
      <c r="G69" s="36" t="s">
        <v>160</v>
      </c>
      <c r="H69" s="36" t="s">
        <v>161</v>
      </c>
      <c r="I69" s="201" t="s">
        <v>162</v>
      </c>
    </row>
    <row r="70" spans="2:9" x14ac:dyDescent="0.3">
      <c r="B70" s="211" t="s">
        <v>163</v>
      </c>
      <c r="C70" s="127">
        <f>INDEX(LINEST('Ano 0 - Linha de Base'!$C$6:$C$57,Aux_X!$O$7:$R$58,TRUE(),TRUE()),1,5)</f>
        <v>117.67141478060539</v>
      </c>
      <c r="D70" s="127">
        <f>INDEX(LINEST('Ano 0 - Linha de Base'!$C$6:$C$57,Aux_X!$O$7:$R$58,TRUE(),TRUE()),2,5)</f>
        <v>10.731043890002294</v>
      </c>
      <c r="E70" s="128">
        <f>C70/D70</f>
        <v>10.965514258145507</v>
      </c>
      <c r="F70" s="127">
        <f>TDIST(ABS(E70),$C$81,2)</f>
        <v>1.5047969962439078E-14</v>
      </c>
      <c r="G70" s="127">
        <f>C70-TINV(alfa,$C$81)*D70</f>
        <v>96.083339032475493</v>
      </c>
      <c r="H70" s="127">
        <f>C70+TINV(alfa,$C$81)*D70</f>
        <v>139.25949052873528</v>
      </c>
      <c r="I70" s="90" t="s">
        <v>137</v>
      </c>
    </row>
    <row r="71" spans="2:9" x14ac:dyDescent="0.3">
      <c r="B71" s="211" t="s">
        <v>74</v>
      </c>
      <c r="C71" s="127">
        <f>INDEX(LINEST('Ano 0 - Linha de Base'!$C$6:$C$57,Aux_X!$O$7:$R$58,TRUE(),TRUE()),1,4)</f>
        <v>2.6137088359752005</v>
      </c>
      <c r="D71" s="127">
        <f>INDEX(LINEST('Ano 0 - Linha de Base'!$C$6:$C$57,Aux_X!$O$7:$R$58,TRUE(),TRUE()),2,4)</f>
        <v>0.18745126882353977</v>
      </c>
      <c r="E71" s="128">
        <f>C71/D71</f>
        <v>13.943404343854599</v>
      </c>
      <c r="F71" s="127">
        <f>TDIST(ABS(E71),$C$81,2)</f>
        <v>2.5566452100030671E-18</v>
      </c>
      <c r="G71" s="127">
        <f>C71-TINV(alfa,$C$81)*D71</f>
        <v>2.2366055241328362</v>
      </c>
      <c r="H71" s="127">
        <f>C71+TINV(alfa,$C$81)*D71</f>
        <v>2.9908121478175649</v>
      </c>
      <c r="I71" s="90" t="str">
        <f>IF(F71&lt;alfa,"Significativa","Não significativa")</f>
        <v>Significativa</v>
      </c>
    </row>
    <row r="72" spans="2:9" x14ac:dyDescent="0.3">
      <c r="B72" s="211" t="s">
        <v>75</v>
      </c>
      <c r="C72" s="127">
        <f>INDEX(LINEST('Ano 0 - Linha de Base'!$C$6:$C$57,Aux_X!$O$7:$R$58,TRUE(),TRUE()),1,3)</f>
        <v>1.3655030513062782</v>
      </c>
      <c r="D72" s="127">
        <f>INDEX(LINEST('Ano 0 - Linha de Base'!$C$6:$C$57,Aux_X!$O$7:$R$58,TRUE(),TRUE()),2,3)</f>
        <v>0.21016168153756651</v>
      </c>
      <c r="E72" s="128">
        <f>C72/D72</f>
        <v>6.4973930609809756</v>
      </c>
      <c r="F72" s="127">
        <f>TDIST(ABS(E72),$C$81,2)</f>
        <v>4.7376605042478932E-8</v>
      </c>
      <c r="G72" s="127">
        <f>C72-TINV(alfa,$C$81)*D72</f>
        <v>0.94271228212358249</v>
      </c>
      <c r="H72" s="127">
        <f>C72+TINV(alfa,$C$81)*D72</f>
        <v>1.788293820488974</v>
      </c>
      <c r="I72" s="90" t="str">
        <f>IF(F72&lt;alfa,"Significativa","Não significativa")</f>
        <v>Significativa</v>
      </c>
    </row>
    <row r="73" spans="2:9" x14ac:dyDescent="0.3">
      <c r="B73" s="211" t="s">
        <v>79</v>
      </c>
      <c r="C73" s="127">
        <f>INDEX(LINEST('Ano 0 - Linha de Base'!$C$6:$C$57,Aux_X!$O$7:$R$58,TRUE(),TRUE()),1,2)</f>
        <v>1.9633705685811775</v>
      </c>
      <c r="D73" s="127">
        <f>INDEX(LINEST('Ano 0 - Linha de Base'!$C$6:$C$57,Aux_X!$O$7:$R$58,TRUE(),TRUE()),2,2)</f>
        <v>0.25677218454656453</v>
      </c>
      <c r="E73" s="128">
        <f>C73/D73</f>
        <v>7.646352240404485</v>
      </c>
      <c r="F73" s="127">
        <f>TDIST(ABS(E73),$C$81,2)</f>
        <v>8.6279567331429755E-10</v>
      </c>
      <c r="G73" s="127">
        <f>C73-TINV(alfa,$C$81)*D73</f>
        <v>1.4468115621299573</v>
      </c>
      <c r="H73" s="127">
        <f>C73+TINV(alfa,$C$81)*D73</f>
        <v>2.479929575032398</v>
      </c>
      <c r="I73" s="90" t="str">
        <f>IF(F73&lt;alfa,"Significativa","Não significativa")</f>
        <v>Significativa</v>
      </c>
    </row>
    <row r="74" spans="2:9" ht="15" customHeight="1" thickBot="1" x14ac:dyDescent="0.35">
      <c r="B74" s="27" t="s">
        <v>80</v>
      </c>
      <c r="C74" s="212">
        <f>INDEX(LINEST('Ano 0 - Linha de Base'!$C$6:$C$57,Aux_X!$O$7:$R$58,TRUE(),TRUE()),1,1)</f>
        <v>-16.687138031883315</v>
      </c>
      <c r="D74" s="212">
        <f>INDEX(LINEST('Ano 0 - Linha de Base'!$C$6:$C$57,Aux_X!$O$7:$R$58,TRUE(),TRUE()),2,1)</f>
        <v>17.288870677860967</v>
      </c>
      <c r="E74" s="213">
        <f>C74/D74</f>
        <v>-0.96519537584671777</v>
      </c>
      <c r="F74" s="212">
        <f>TDIST(ABS(E74),$C$81,2)</f>
        <v>0.33938723828028272</v>
      </c>
      <c r="G74" s="212">
        <f>C74-TINV(alfa,$C$81)*D74</f>
        <v>-51.467859611170837</v>
      </c>
      <c r="H74" s="212">
        <f>C74+TINV(alfa,$C$81)*D74</f>
        <v>18.093583547404208</v>
      </c>
      <c r="I74" s="93" t="str">
        <f>IF(F74&lt;alfa,"Significativa","Não significativa")</f>
        <v>Não significativa</v>
      </c>
    </row>
    <row r="75" spans="2:9" ht="15" customHeight="1" thickBot="1" x14ac:dyDescent="0.35">
      <c r="B75" s="197"/>
      <c r="C75" s="198"/>
      <c r="D75" s="198"/>
      <c r="E75" s="199"/>
      <c r="F75" s="198"/>
      <c r="G75" s="198"/>
      <c r="H75" s="198"/>
      <c r="I75" s="126"/>
    </row>
    <row r="76" spans="2:9" ht="15" customHeight="1" thickBot="1" x14ac:dyDescent="0.35">
      <c r="B76" s="263" t="s">
        <v>164</v>
      </c>
      <c r="C76" s="239"/>
    </row>
    <row r="77" spans="2:9" x14ac:dyDescent="0.3">
      <c r="B77" s="130" t="s">
        <v>127</v>
      </c>
      <c r="C77" s="131">
        <f>INDEX(LINEST('Ano 0 - Linha de Base'!$C$6:$C$57,Aux_X!$O$7:$R$58,TRUE(),TRUE()),3,1)</f>
        <v>0.95225850559271441</v>
      </c>
    </row>
    <row r="78" spans="2:9" x14ac:dyDescent="0.3">
      <c r="B78" s="89" t="s">
        <v>19</v>
      </c>
      <c r="C78" s="132">
        <f>1-(1-C77)*(COUNT('Ano 0 - Linha de Base'!$C$6:$C$57)-1)/C81</f>
        <v>0.94819539968571143</v>
      </c>
    </row>
    <row r="79" spans="2:9" x14ac:dyDescent="0.3">
      <c r="B79" s="89" t="s">
        <v>165</v>
      </c>
      <c r="C79" s="133">
        <f>INDEX(LINEST('Ano 0 - Linha de Base'!$C$6:$C$57,Aux_X!$O$7:$R$58,TRUE(),TRUE()),3,2)</f>
        <v>3.4583672277574773</v>
      </c>
    </row>
    <row r="80" spans="2:9" x14ac:dyDescent="0.3">
      <c r="B80" s="89" t="s">
        <v>166</v>
      </c>
      <c r="C80" s="134">
        <f>INDEX(LINEST('Ano 0 - Linha de Base'!$C$6:$C$57,Aux_X!$O$7:$R$58,TRUE(),TRUE()),4,1)</f>
        <v>234.3671386835955</v>
      </c>
    </row>
    <row r="81" spans="2:9" x14ac:dyDescent="0.3">
      <c r="B81" s="89" t="s">
        <v>167</v>
      </c>
      <c r="C81" s="135">
        <f>INDEX(LINEST('Ano 0 - Linha de Base'!$C$6:$C$57,Aux_X!$O$7:$R$58,TRUE(),TRUE()),4,2)</f>
        <v>47</v>
      </c>
    </row>
    <row r="82" spans="2:9" x14ac:dyDescent="0.3">
      <c r="B82" s="89" t="s">
        <v>168</v>
      </c>
      <c r="C82" s="136">
        <f>INDEX(LINEST('Ano 0 - Linha de Base'!$C$6:$C$57,Aux_X!$O$7:$R$58,TRUE(),TRUE()),5,1)</f>
        <v>11212.408794467814</v>
      </c>
    </row>
    <row r="83" spans="2:9" x14ac:dyDescent="0.3">
      <c r="B83" s="89" t="s">
        <v>169</v>
      </c>
      <c r="C83" s="136">
        <f>INDEX(LINEST('Ano 0 - Linha de Base'!$C$6:$C$57,Aux_X!$O$7:$R$58,TRUE(),TRUE()),5,2)</f>
        <v>562.1342824552662</v>
      </c>
    </row>
    <row r="84" spans="2:9" ht="15" customHeight="1" thickBot="1" x14ac:dyDescent="0.35">
      <c r="B84" s="91" t="s">
        <v>20</v>
      </c>
      <c r="C84" s="137">
        <f>C79/AVERAGE('Ano 0 - Linha de Base'!$C$6:$C$57)</f>
        <v>1.327392204335613E-2</v>
      </c>
    </row>
    <row r="86" spans="2:9" ht="15" customHeight="1" thickBot="1" x14ac:dyDescent="0.35"/>
    <row r="87" spans="2:9" x14ac:dyDescent="0.3">
      <c r="B87" s="259" t="s">
        <v>182</v>
      </c>
      <c r="C87" s="261"/>
      <c r="D87" s="261"/>
      <c r="E87" s="261"/>
      <c r="F87" s="261"/>
      <c r="G87" s="261"/>
      <c r="H87" s="261"/>
      <c r="I87" s="260"/>
    </row>
    <row r="88" spans="2:9" x14ac:dyDescent="0.3">
      <c r="B88" s="200" t="s">
        <v>156</v>
      </c>
      <c r="C88" s="36" t="s">
        <v>157</v>
      </c>
      <c r="D88" s="36" t="s">
        <v>158</v>
      </c>
      <c r="E88" s="36" t="s">
        <v>159</v>
      </c>
      <c r="F88" s="36" t="s">
        <v>70</v>
      </c>
      <c r="G88" s="36" t="s">
        <v>160</v>
      </c>
      <c r="H88" s="36" t="s">
        <v>161</v>
      </c>
      <c r="I88" s="201" t="s">
        <v>162</v>
      </c>
    </row>
    <row r="89" spans="2:9" x14ac:dyDescent="0.3">
      <c r="B89" s="211" t="s">
        <v>163</v>
      </c>
      <c r="C89" s="127">
        <f>INDEX(LINEST('Ano 0 - Linha de Base'!$C$6:$C$57,Aux_X!$T$7:$V$58,TRUE(),TRUE()),1,4)</f>
        <v>111.00554683235053</v>
      </c>
      <c r="D89" s="127">
        <f>INDEX(LINEST('Ano 0 - Linha de Base'!$C$6:$C$57,Aux_X!$T$7:$V$58,TRUE(),TRUE()),2,4)</f>
        <v>8.2075007200520727</v>
      </c>
      <c r="E89" s="128">
        <f>C89/D89</f>
        <v>13.524890294696954</v>
      </c>
      <c r="F89" s="127">
        <f>TDIST(ABS(E89),$C$99,2)</f>
        <v>5.4199888230050248E-18</v>
      </c>
      <c r="G89" s="127">
        <f>C89-TINV(alfa,$C$99)*D89</f>
        <v>94.50326061138793</v>
      </c>
      <c r="H89" s="127">
        <f>C89+TINV(alfa,$C$99)*D89</f>
        <v>127.50783305331313</v>
      </c>
      <c r="I89" s="90" t="s">
        <v>137</v>
      </c>
    </row>
    <row r="90" spans="2:9" x14ac:dyDescent="0.3">
      <c r="B90" s="211" t="s">
        <v>74</v>
      </c>
      <c r="C90" s="127">
        <f>INDEX(LINEST('Ano 0 - Linha de Base'!$C$6:$C$57,Aux_X!$T$7:$V$58,TRUE(),TRUE()),1,3)</f>
        <v>2.6082653934630557</v>
      </c>
      <c r="D90" s="127">
        <f>INDEX(LINEST('Ano 0 - Linha de Base'!$C$6:$C$57,Aux_X!$T$7:$V$58,TRUE(),TRUE()),2,3)</f>
        <v>0.18723286801834133</v>
      </c>
      <c r="E90" s="128">
        <f>C90/D90</f>
        <v>13.930595739245687</v>
      </c>
      <c r="F90" s="127">
        <f>TDIST(ABS(E90),$C$99,2)</f>
        <v>1.7398016000852115E-18</v>
      </c>
      <c r="G90" s="127">
        <f>C90-TINV(alfa,$C$99)*D90</f>
        <v>2.2318084812557082</v>
      </c>
      <c r="H90" s="127">
        <f>C90+TINV(alfa,$C$99)*D90</f>
        <v>2.9847223056704033</v>
      </c>
      <c r="I90" s="90" t="str">
        <f>IF(F90&lt;alfa,"Significativa","Não significativa")</f>
        <v>Significativa</v>
      </c>
    </row>
    <row r="91" spans="2:9" x14ac:dyDescent="0.3">
      <c r="B91" s="211" t="s">
        <v>75</v>
      </c>
      <c r="C91" s="127">
        <f>INDEX(LINEST('Ano 0 - Linha de Base'!$C$6:$C$57,Aux_X!$T$7:$V$58,TRUE(),TRUE()),1,2)</f>
        <v>1.4109802051178448</v>
      </c>
      <c r="D91" s="127">
        <f>INDEX(LINEST('Ano 0 - Linha de Base'!$C$6:$C$57,Aux_X!$T$7:$V$58,TRUE(),TRUE()),2,2)</f>
        <v>0.20466592910769388</v>
      </c>
      <c r="E91" s="128">
        <f>C91/D91</f>
        <v>6.8940649343516096</v>
      </c>
      <c r="F91" s="127">
        <f>TDIST(ABS(E91),$C$99,2)</f>
        <v>1.0688157940730916E-8</v>
      </c>
      <c r="G91" s="127">
        <f>C91-TINV(alfa,$C$99)*D91</f>
        <v>0.9994717743524586</v>
      </c>
      <c r="H91" s="127">
        <f>C91+TINV(alfa,$C$99)*D91</f>
        <v>1.8224886358832311</v>
      </c>
      <c r="I91" s="90" t="str">
        <f>IF(F91&lt;alfa,"Significativa","Não significativa")</f>
        <v>Significativa</v>
      </c>
    </row>
    <row r="92" spans="2:9" ht="15" customHeight="1" thickBot="1" x14ac:dyDescent="0.35">
      <c r="B92" s="27" t="s">
        <v>79</v>
      </c>
      <c r="C92" s="212">
        <f>INDEX(LINEST('Ano 0 - Linha de Base'!$C$6:$C$57,Aux_X!$T$7:$V$58,TRUE(),TRUE()),1,1)</f>
        <v>1.7383993341407129</v>
      </c>
      <c r="D92" s="212">
        <f>INDEX(LINEST('Ano 0 - Linha de Base'!$C$6:$C$57,Aux_X!$T$7:$V$58,TRUE(),TRUE()),2,1)</f>
        <v>0.10764499341280973</v>
      </c>
      <c r="E92" s="213">
        <f>C92/D92</f>
        <v>16.149374708715843</v>
      </c>
      <c r="F92" s="212">
        <f>TDIST(ABS(E92),$C$99,2)</f>
        <v>4.9160279623806386E-21</v>
      </c>
      <c r="G92" s="212">
        <f>C92-TINV(alfa,$C$99)*D92</f>
        <v>1.5219645689006862</v>
      </c>
      <c r="H92" s="212">
        <f>C92+TINV(alfa,$C$99)*D92</f>
        <v>1.9548340993807396</v>
      </c>
      <c r="I92" s="93" t="str">
        <f>IF(F92&lt;alfa,"Significativa","Não significativa")</f>
        <v>Significativa</v>
      </c>
    </row>
    <row r="93" spans="2:9" ht="15" customHeight="1" thickBot="1" x14ac:dyDescent="0.35">
      <c r="B93" s="197"/>
      <c r="C93" s="198"/>
      <c r="D93" s="198"/>
      <c r="E93" s="199"/>
      <c r="F93" s="198"/>
      <c r="G93" s="198"/>
      <c r="H93" s="198"/>
      <c r="I93" s="126"/>
    </row>
    <row r="94" spans="2:9" ht="15" customHeight="1" thickBot="1" x14ac:dyDescent="0.35">
      <c r="B94" s="263" t="s">
        <v>164</v>
      </c>
      <c r="C94" s="239"/>
    </row>
    <row r="95" spans="2:9" x14ac:dyDescent="0.3">
      <c r="B95" s="130" t="s">
        <v>127</v>
      </c>
      <c r="C95" s="131">
        <f>INDEX(LINEST('Ano 0 - Linha de Base'!$C$6:$C$57,Aux_X!$T$7:$V$58,TRUE(),TRUE()),3,1)</f>
        <v>0.95131220608007305</v>
      </c>
    </row>
    <row r="96" spans="2:9" x14ac:dyDescent="0.3">
      <c r="B96" s="89" t="s">
        <v>19</v>
      </c>
      <c r="C96" s="132">
        <f>1-(1-C95)*(COUNT('Ano 0 - Linha de Base'!$C$6:$C$57)-1)/C99</f>
        <v>0.94826921896007765</v>
      </c>
    </row>
    <row r="97" spans="2:10" x14ac:dyDescent="0.3">
      <c r="B97" s="89" t="s">
        <v>165</v>
      </c>
      <c r="C97" s="133">
        <f>INDEX(LINEST('Ano 0 - Linha de Base'!$C$6:$C$57,Aux_X!$T$7:$V$58,TRUE(),TRUE()),3,2)</f>
        <v>3.4559023388452563</v>
      </c>
    </row>
    <row r="98" spans="2:10" x14ac:dyDescent="0.3">
      <c r="B98" s="89" t="s">
        <v>166</v>
      </c>
      <c r="C98" s="134">
        <f>INDEX(LINEST('Ano 0 - Linha de Base'!$C$6:$C$57,Aux_X!$T$7:$V$58,TRUE(),TRUE()),4,1)</f>
        <v>312.62446029725572</v>
      </c>
    </row>
    <row r="99" spans="2:10" x14ac:dyDescent="0.3">
      <c r="B99" s="89" t="s">
        <v>167</v>
      </c>
      <c r="C99" s="135">
        <f>INDEX(LINEST('Ano 0 - Linha de Base'!$C$6:$C$57,Aux_X!$T$7:$V$58,TRUE(),TRUE()),4,2)</f>
        <v>48</v>
      </c>
    </row>
    <row r="100" spans="2:10" x14ac:dyDescent="0.3">
      <c r="B100" s="89" t="s">
        <v>168</v>
      </c>
      <c r="C100" s="136">
        <f>INDEX(LINEST('Ano 0 - Linha de Base'!$C$6:$C$57,Aux_X!$T$7:$V$58,TRUE(),TRUE()),5,1)</f>
        <v>11201.266550092547</v>
      </c>
    </row>
    <row r="101" spans="2:10" x14ac:dyDescent="0.3">
      <c r="B101" s="89" t="s">
        <v>169</v>
      </c>
      <c r="C101" s="136">
        <f>INDEX(LINEST('Ano 0 - Linha de Base'!$C$6:$C$57,Aux_X!$T$7:$V$58,TRUE(),TRUE()),5,2)</f>
        <v>573.27652683053338</v>
      </c>
    </row>
    <row r="102" spans="2:10" ht="15" customHeight="1" thickBot="1" x14ac:dyDescent="0.35">
      <c r="B102" s="91" t="s">
        <v>20</v>
      </c>
      <c r="C102" s="137">
        <f>C97/AVERAGE('Ano 0 - Linha de Base'!$C$6:$C$57)</f>
        <v>1.3264461294652596E-2</v>
      </c>
    </row>
    <row r="104" spans="2:10" ht="15" customHeight="1" thickBot="1" x14ac:dyDescent="0.35"/>
    <row r="105" spans="2:10" x14ac:dyDescent="0.3">
      <c r="B105" s="259" t="s">
        <v>183</v>
      </c>
      <c r="C105" s="261"/>
      <c r="D105" s="261"/>
      <c r="E105" s="261"/>
      <c r="F105" s="261"/>
      <c r="G105" s="261"/>
      <c r="H105" s="261"/>
      <c r="I105" s="260"/>
    </row>
    <row r="106" spans="2:10" ht="26.4" customHeight="1" x14ac:dyDescent="0.3">
      <c r="B106" s="200" t="s">
        <v>184</v>
      </c>
      <c r="C106" s="36" t="s">
        <v>185</v>
      </c>
      <c r="D106" s="36" t="s">
        <v>127</v>
      </c>
      <c r="E106" s="36" t="s">
        <v>19</v>
      </c>
      <c r="F106" s="36" t="s">
        <v>130</v>
      </c>
      <c r="G106" s="36" t="s">
        <v>20</v>
      </c>
      <c r="H106" s="36" t="s">
        <v>186</v>
      </c>
      <c r="I106" s="201" t="s">
        <v>187</v>
      </c>
      <c r="J106" s="201" t="s">
        <v>188</v>
      </c>
    </row>
    <row r="107" spans="2:10" x14ac:dyDescent="0.3">
      <c r="B107" s="211" t="s">
        <v>178</v>
      </c>
      <c r="C107" s="127">
        <f>MAX(F8:F14)</f>
        <v>0.96155180409073182</v>
      </c>
      <c r="D107" s="127">
        <f>C17</f>
        <v>0.95266178298942716</v>
      </c>
      <c r="E107" s="128">
        <f>C18</f>
        <v>0.94513070301047242</v>
      </c>
      <c r="F107" s="127">
        <f>C19</f>
        <v>3.5591938418683644</v>
      </c>
      <c r="G107" s="127">
        <f>C24</f>
        <v>1.3660915247797091E-2</v>
      </c>
      <c r="H107" s="127" t="str">
        <f>IF(C107&gt;alfa,INDEX('4.1a Correlação'!$D$5:$J$5,MATCH(C107,F8:F14,0)),"(todas significativas)")</f>
        <v>P5</v>
      </c>
      <c r="I107" s="90">
        <f>ROWS(F8:F14)</f>
        <v>7</v>
      </c>
      <c r="J107" s="90" t="str">
        <f>IF(ISNUMBER(MATCH(H107,Aux_X!$B$6:$G$6,0)),"ERRO: variável removida ainda está no bloco seguinte","OK")</f>
        <v>OK</v>
      </c>
    </row>
    <row r="108" spans="2:10" x14ac:dyDescent="0.3">
      <c r="B108" s="211" t="s">
        <v>179</v>
      </c>
      <c r="C108" s="127">
        <f>MAX(F30:F35)</f>
        <v>0.86291766642050527</v>
      </c>
      <c r="D108" s="127">
        <f>C38</f>
        <v>0.95265925419394659</v>
      </c>
      <c r="E108" s="128">
        <f>C39</f>
        <v>0.94634715475313946</v>
      </c>
      <c r="F108" s="127">
        <f>C40</f>
        <v>3.5195190668519256</v>
      </c>
      <c r="G108" s="127">
        <f>C45</f>
        <v>1.3508635331879256E-2</v>
      </c>
      <c r="H108" s="127" t="str">
        <f>IF(C108&gt;alfa,INDEX(Aux_X!$B$6:$G$6,MATCH(C108,F30:F35,0)),"(todas significativas)")</f>
        <v>P3</v>
      </c>
      <c r="I108" s="90">
        <f>ROWS(F30:F35)</f>
        <v>6</v>
      </c>
      <c r="J108" s="90" t="str">
        <f>IF(ISNUMBER(MATCH(H108,Aux_X!$I$6:$M$6,0)),"ERRO: variável removida ainda está no bloco seguinte","OK")</f>
        <v>OK</v>
      </c>
    </row>
    <row r="109" spans="2:10" x14ac:dyDescent="0.3">
      <c r="B109" s="211" t="s">
        <v>180</v>
      </c>
      <c r="C109" s="127">
        <f>MAX(F51:F55)</f>
        <v>0.55236963760937585</v>
      </c>
      <c r="D109" s="127">
        <f>C58</f>
        <v>0.95262753056344118</v>
      </c>
      <c r="E109" s="128">
        <f>C59</f>
        <v>0.9474783491029457</v>
      </c>
      <c r="F109" s="127">
        <f>C60</f>
        <v>3.4822193761306384</v>
      </c>
      <c r="G109" s="127">
        <f>C65</f>
        <v>1.336547147614358E-2</v>
      </c>
      <c r="H109" s="127" t="str">
        <f>IF(C109&gt;alfa,INDEX(Aux_X!$I$6:$M$6,MATCH(C109,F51:F55,0)),"(todas significativas)")</f>
        <v>P4</v>
      </c>
      <c r="I109" s="90">
        <f>ROWS(F51:F55)</f>
        <v>5</v>
      </c>
      <c r="J109" s="90" t="str">
        <f>IF(ISNUMBER(MATCH(H109,Aux_X!$O$6:$R$6,0)),"ERRO: variável removida ainda está no bloco seguinte","OK")</f>
        <v>OK</v>
      </c>
    </row>
    <row r="110" spans="2:10" x14ac:dyDescent="0.3">
      <c r="B110" s="211" t="s">
        <v>181</v>
      </c>
      <c r="C110" s="127">
        <f>MAX(F71:F74)</f>
        <v>0.33938723828028272</v>
      </c>
      <c r="D110" s="127">
        <f>C77</f>
        <v>0.95225850559271441</v>
      </c>
      <c r="E110" s="128">
        <f>C78</f>
        <v>0.94819539968571143</v>
      </c>
      <c r="F110" s="127">
        <f>C79</f>
        <v>3.4583672277574773</v>
      </c>
      <c r="G110" s="127">
        <f>C84</f>
        <v>1.327392204335613E-2</v>
      </c>
      <c r="H110" s="127" t="str">
        <f>IF(C110&gt;alfa,INDEX(Aux_X!$O$6:$R$6,MATCH(C110,F71:F74,0)),"(todas significativas)")</f>
        <v>UR</v>
      </c>
      <c r="I110" s="90">
        <f>ROWS(F71:F74)</f>
        <v>4</v>
      </c>
      <c r="J110" s="90" t="str">
        <f>IF(ISNUMBER(MATCH(H110,Aux_X!$T$6:$V$6,0)),"ERRO: variável removida ainda está no bloco seguinte","OK")</f>
        <v>OK</v>
      </c>
    </row>
    <row r="111" spans="2:10" ht="27" customHeight="1" thickBot="1" x14ac:dyDescent="0.35">
      <c r="B111" s="221" t="s">
        <v>182</v>
      </c>
      <c r="C111" s="212">
        <f>MAX(F90:F92)</f>
        <v>1.0688157940730916E-8</v>
      </c>
      <c r="D111" s="212">
        <f>C95</f>
        <v>0.95131220608007305</v>
      </c>
      <c r="E111" s="213">
        <f>C96</f>
        <v>0.94826921896007765</v>
      </c>
      <c r="F111" s="212">
        <f>C97</f>
        <v>3.4559023388452563</v>
      </c>
      <c r="G111" s="212">
        <f>C102</f>
        <v>1.3264461294652596E-2</v>
      </c>
      <c r="H111" s="220" t="str">
        <f>IF(C111&gt;alfa,INDEX(Aux_X!$T$6:$V$6,MATCH(C111,F90:F92,0)),"(todas significativas)")</f>
        <v>(todas significativas)</v>
      </c>
      <c r="I111" s="93">
        <f>ROWS(F90:F92)</f>
        <v>3</v>
      </c>
      <c r="J111" s="93" t="str">
        <f>IF(C111&gt;alfa,"ERRO: ainda há variável não significativa","OK")</f>
        <v>OK</v>
      </c>
    </row>
    <row r="113" spans="2:9" ht="39.75" customHeight="1" x14ac:dyDescent="0.3">
      <c r="B113" s="269" t="str">
        <f>"Resultado: o modelo final mantém "&amp;C115&amp;" (todas com p &lt; α). O R² ajustado passa de "&amp;FIXED(E107,4,TRUE)&amp;" (7 variáveis) para "&amp;FIXED(E111,4,TRUE)&amp;" (modelo final): retirar variáveis irrelevantes não piora o ajuste, e o RMSE vai de "&amp;FIXED(F107,3,TRUE)&amp;" para "&amp;FIXED(F111,3,TRUE)&amp;" MWh."</f>
        <v>Resultado: o modelo final mantém P1, P2, Temp (todas com p &lt; α). O R² ajustado passa de 0,9451 (7 variáveis) para 0,9483 (modelo final): retirar variáveis irrelevantes não piora o ajuste, e o RMSE vai de 3,559 para 3,456 MWh.</v>
      </c>
      <c r="C113" s="257"/>
      <c r="D113" s="257"/>
      <c r="E113" s="257"/>
      <c r="F113" s="257"/>
      <c r="G113" s="257"/>
      <c r="H113" s="257"/>
      <c r="I113" s="257"/>
    </row>
    <row r="115" spans="2:9" x14ac:dyDescent="0.3">
      <c r="B115" s="211" t="s">
        <v>189</v>
      </c>
      <c r="C115" s="264" t="str">
        <f>SUBSTITUTE(TRIM(IF(F90&lt;alfa,Aux_X!T6&amp;" ","")&amp;IF(F91&lt;alfa,Aux_X!U6&amp;" ","")&amp;IF(F92&lt;alfa,Aux_X!V6&amp;" ","")), " ", ", ")</f>
        <v>P1, P2, Temp</v>
      </c>
      <c r="D115" s="253"/>
      <c r="E115" s="265"/>
    </row>
  </sheetData>
  <mergeCells count="15">
    <mergeCell ref="B2:I2"/>
    <mergeCell ref="B37:C37"/>
    <mergeCell ref="B76:C76"/>
    <mergeCell ref="B3:I3"/>
    <mergeCell ref="B5:I5"/>
    <mergeCell ref="B27:I27"/>
    <mergeCell ref="B57:C57"/>
    <mergeCell ref="C115:E115"/>
    <mergeCell ref="B68:I68"/>
    <mergeCell ref="B16:C16"/>
    <mergeCell ref="B105:I105"/>
    <mergeCell ref="B48:I48"/>
    <mergeCell ref="B87:I87"/>
    <mergeCell ref="B94:C94"/>
    <mergeCell ref="B113:I1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88"/>
  <sheetViews>
    <sheetView showGridLines="0" zoomScaleNormal="100" workbookViewId="0">
      <selection activeCell="I29" sqref="I29"/>
    </sheetView>
  </sheetViews>
  <sheetFormatPr defaultColWidth="8.6640625" defaultRowHeight="14.4" x14ac:dyDescent="0.3"/>
  <cols>
    <col min="2" max="2" width="40" customWidth="1"/>
    <col min="3" max="10" width="14" customWidth="1"/>
  </cols>
  <sheetData>
    <row r="1" spans="2:9" ht="15" customHeight="1" thickBot="1" x14ac:dyDescent="0.35"/>
    <row r="2" spans="2:9" ht="17.399999999999999" customHeight="1" x14ac:dyDescent="0.3">
      <c r="B2" s="237" t="s">
        <v>190</v>
      </c>
      <c r="C2" s="238"/>
      <c r="D2" s="238"/>
      <c r="E2" s="238"/>
      <c r="F2" s="238"/>
      <c r="G2" s="238"/>
      <c r="H2" s="238"/>
      <c r="I2" s="239"/>
    </row>
    <row r="3" spans="2:9" ht="15" customHeight="1" thickBot="1" x14ac:dyDescent="0.35">
      <c r="B3" s="258" t="s">
        <v>191</v>
      </c>
      <c r="C3" s="235"/>
      <c r="D3" s="235"/>
      <c r="E3" s="235"/>
      <c r="F3" s="235"/>
      <c r="G3" s="235"/>
      <c r="H3" s="235"/>
      <c r="I3" s="236"/>
    </row>
    <row r="4" spans="2:9" ht="15" customHeight="1" thickBot="1" x14ac:dyDescent="0.35"/>
    <row r="5" spans="2:9" x14ac:dyDescent="0.3">
      <c r="B5" s="259" t="s">
        <v>192</v>
      </c>
      <c r="C5" s="261"/>
      <c r="D5" s="261"/>
      <c r="E5" s="261"/>
      <c r="F5" s="261"/>
      <c r="G5" s="261"/>
      <c r="H5" s="261"/>
      <c r="I5" s="260"/>
    </row>
    <row r="6" spans="2:9" ht="26.4" customHeight="1" x14ac:dyDescent="0.3">
      <c r="B6" s="200" t="s">
        <v>156</v>
      </c>
      <c r="C6" s="36" t="s">
        <v>157</v>
      </c>
      <c r="D6" s="36" t="s">
        <v>158</v>
      </c>
      <c r="E6" s="36" t="s">
        <v>159</v>
      </c>
      <c r="F6" s="36" t="s">
        <v>70</v>
      </c>
      <c r="G6" s="36" t="s">
        <v>160</v>
      </c>
      <c r="H6" s="36" t="s">
        <v>161</v>
      </c>
      <c r="I6" s="201" t="s">
        <v>162</v>
      </c>
    </row>
    <row r="7" spans="2:9" x14ac:dyDescent="0.3">
      <c r="B7" s="211" t="s">
        <v>163</v>
      </c>
      <c r="C7" s="127">
        <f>INDEX(LINEST('Ano 0 - Linha de Base'!$C$6:$C$57,Aux_X!$T$7:$V$58,TRUE(),TRUE()),1,4)</f>
        <v>111.00554683235053</v>
      </c>
      <c r="D7" s="127">
        <f>INDEX(LINEST('Ano 0 - Linha de Base'!$C$6:$C$57,Aux_X!$T$7:$V$58,TRUE(),TRUE()),2,4)</f>
        <v>8.2075007200520727</v>
      </c>
      <c r="E7" s="128">
        <f>C7/D7</f>
        <v>13.524890294696954</v>
      </c>
      <c r="F7" s="127">
        <f>TDIST(ABS(E7),$C$17,2)</f>
        <v>5.4199888230050248E-18</v>
      </c>
      <c r="G7" s="127">
        <f>C7-TINV(alfa,$C$17)*D7</f>
        <v>94.50326061138793</v>
      </c>
      <c r="H7" s="127">
        <f>C7+TINV(alfa,$C$17)*D7</f>
        <v>127.50783305331313</v>
      </c>
      <c r="I7" s="90" t="s">
        <v>137</v>
      </c>
    </row>
    <row r="8" spans="2:9" x14ac:dyDescent="0.3">
      <c r="B8" s="211" t="s">
        <v>74</v>
      </c>
      <c r="C8" s="127">
        <f>INDEX(LINEST('Ano 0 - Linha de Base'!$C$6:$C$57,Aux_X!$T$7:$V$58,TRUE(),TRUE()),1,3)</f>
        <v>2.6082653934630557</v>
      </c>
      <c r="D8" s="127">
        <f>INDEX(LINEST('Ano 0 - Linha de Base'!$C$6:$C$57,Aux_X!$T$7:$V$58,TRUE(),TRUE()),2,3)</f>
        <v>0.18723286801834133</v>
      </c>
      <c r="E8" s="128">
        <f>C8/D8</f>
        <v>13.930595739245687</v>
      </c>
      <c r="F8" s="127">
        <f>TDIST(ABS(E8),$C$17,2)</f>
        <v>1.7398016000852115E-18</v>
      </c>
      <c r="G8" s="127">
        <f>C8-TINV(alfa,$C$17)*D8</f>
        <v>2.2318084812557082</v>
      </c>
      <c r="H8" s="127">
        <f>C8+TINV(alfa,$C$17)*D8</f>
        <v>2.9847223056704033</v>
      </c>
      <c r="I8" s="90" t="str">
        <f>IF(F8&lt;alfa,"Significativa","Não significativa")</f>
        <v>Significativa</v>
      </c>
    </row>
    <row r="9" spans="2:9" x14ac:dyDescent="0.3">
      <c r="B9" s="211" t="s">
        <v>75</v>
      </c>
      <c r="C9" s="127">
        <f>INDEX(LINEST('Ano 0 - Linha de Base'!$C$6:$C$57,Aux_X!$T$7:$V$58,TRUE(),TRUE()),1,2)</f>
        <v>1.4109802051178448</v>
      </c>
      <c r="D9" s="127">
        <f>INDEX(LINEST('Ano 0 - Linha de Base'!$C$6:$C$57,Aux_X!$T$7:$V$58,TRUE(),TRUE()),2,2)</f>
        <v>0.20466592910769388</v>
      </c>
      <c r="E9" s="128">
        <f>C9/D9</f>
        <v>6.8940649343516096</v>
      </c>
      <c r="F9" s="127">
        <f>TDIST(ABS(E9),$C$17,2)</f>
        <v>1.0688157940730916E-8</v>
      </c>
      <c r="G9" s="127">
        <f>C9-TINV(alfa,$C$17)*D9</f>
        <v>0.9994717743524586</v>
      </c>
      <c r="H9" s="127">
        <f>C9+TINV(alfa,$C$17)*D9</f>
        <v>1.8224886358832311</v>
      </c>
      <c r="I9" s="90" t="str">
        <f>IF(F9&lt;alfa,"Significativa","Não significativa")</f>
        <v>Significativa</v>
      </c>
    </row>
    <row r="10" spans="2:9" ht="15" customHeight="1" thickBot="1" x14ac:dyDescent="0.35">
      <c r="B10" s="27" t="s">
        <v>79</v>
      </c>
      <c r="C10" s="212">
        <f>INDEX(LINEST('Ano 0 - Linha de Base'!$C$6:$C$57,Aux_X!$T$7:$V$58,TRUE(),TRUE()),1,1)</f>
        <v>1.7383993341407129</v>
      </c>
      <c r="D10" s="212">
        <f>INDEX(LINEST('Ano 0 - Linha de Base'!$C$6:$C$57,Aux_X!$T$7:$V$58,TRUE(),TRUE()),2,1)</f>
        <v>0.10764499341280973</v>
      </c>
      <c r="E10" s="213">
        <f>C10/D10</f>
        <v>16.149374708715843</v>
      </c>
      <c r="F10" s="212">
        <f>TDIST(ABS(E10),$C$17,2)</f>
        <v>4.9160279623806386E-21</v>
      </c>
      <c r="G10" s="212">
        <f>C10-TINV(alfa,$C$17)*D10</f>
        <v>1.5219645689006862</v>
      </c>
      <c r="H10" s="212">
        <f>C10+TINV(alfa,$C$17)*D10</f>
        <v>1.9548340993807396</v>
      </c>
      <c r="I10" s="93" t="str">
        <f>IF(F10&lt;alfa,"Significativa","Não significativa")</f>
        <v>Significativa</v>
      </c>
    </row>
    <row r="11" spans="2:9" ht="15" customHeight="1" thickBot="1" x14ac:dyDescent="0.35">
      <c r="B11" s="197"/>
      <c r="C11" s="198"/>
      <c r="D11" s="198"/>
      <c r="E11" s="199"/>
      <c r="F11" s="198"/>
      <c r="G11" s="198"/>
      <c r="H11" s="198"/>
      <c r="I11" s="126"/>
    </row>
    <row r="12" spans="2:9" x14ac:dyDescent="0.3">
      <c r="B12" s="259" t="s">
        <v>164</v>
      </c>
      <c r="C12" s="260"/>
    </row>
    <row r="13" spans="2:9" x14ac:dyDescent="0.3">
      <c r="B13" s="202" t="s">
        <v>127</v>
      </c>
      <c r="C13" s="132">
        <f>INDEX(LINEST('Ano 0 - Linha de Base'!$C$6:$C$57,Aux_X!$T$7:$V$58,TRUE(),TRUE()),3,1)</f>
        <v>0.95131220608007305</v>
      </c>
    </row>
    <row r="14" spans="2:9" x14ac:dyDescent="0.3">
      <c r="B14" s="202" t="s">
        <v>19</v>
      </c>
      <c r="C14" s="132">
        <f>1-(1-C13)*(COUNT('Ano 0 - Linha de Base'!$C$6:$C$57)-1)/C17</f>
        <v>0.94826921896007765</v>
      </c>
    </row>
    <row r="15" spans="2:9" x14ac:dyDescent="0.3">
      <c r="B15" s="202" t="s">
        <v>165</v>
      </c>
      <c r="C15" s="133">
        <f>INDEX(LINEST('Ano 0 - Linha de Base'!$C$6:$C$57,Aux_X!$T$7:$V$58,TRUE(),TRUE()),3,2)</f>
        <v>3.4559023388452563</v>
      </c>
    </row>
    <row r="16" spans="2:9" x14ac:dyDescent="0.3">
      <c r="B16" s="202" t="s">
        <v>166</v>
      </c>
      <c r="C16" s="134">
        <f>INDEX(LINEST('Ano 0 - Linha de Base'!$C$6:$C$57,Aux_X!$T$7:$V$58,TRUE(),TRUE()),4,1)</f>
        <v>312.62446029725572</v>
      </c>
    </row>
    <row r="17" spans="2:9" x14ac:dyDescent="0.3">
      <c r="B17" s="202" t="s">
        <v>167</v>
      </c>
      <c r="C17" s="135">
        <f>INDEX(LINEST('Ano 0 - Linha de Base'!$C$6:$C$57,Aux_X!$T$7:$V$58,TRUE(),TRUE()),4,2)</f>
        <v>48</v>
      </c>
    </row>
    <row r="18" spans="2:9" x14ac:dyDescent="0.3">
      <c r="B18" s="202" t="s">
        <v>168</v>
      </c>
      <c r="C18" s="136">
        <f>INDEX(LINEST('Ano 0 - Linha de Base'!$C$6:$C$57,Aux_X!$T$7:$V$58,TRUE(),TRUE()),5,1)</f>
        <v>11201.266550092547</v>
      </c>
    </row>
    <row r="19" spans="2:9" x14ac:dyDescent="0.3">
      <c r="B19" s="202" t="s">
        <v>169</v>
      </c>
      <c r="C19" s="136">
        <f>INDEX(LINEST('Ano 0 - Linha de Base'!$C$6:$C$57,Aux_X!$T$7:$V$58,TRUE(),TRUE()),5,2)</f>
        <v>573.27652683053338</v>
      </c>
    </row>
    <row r="20" spans="2:9" ht="15" customHeight="1" thickBot="1" x14ac:dyDescent="0.35">
      <c r="B20" s="203" t="s">
        <v>20</v>
      </c>
      <c r="C20" s="137">
        <f>C15/AVERAGE('Ano 0 - Linha de Base'!$C$6:$C$57)</f>
        <v>1.3264461294652596E-2</v>
      </c>
    </row>
    <row r="21" spans="2:9" ht="15" customHeight="1" thickBot="1" x14ac:dyDescent="0.35"/>
    <row r="22" spans="2:9" x14ac:dyDescent="0.3">
      <c r="B22" s="263" t="s">
        <v>193</v>
      </c>
      <c r="C22" s="238"/>
      <c r="D22" s="238"/>
      <c r="E22" s="238"/>
      <c r="F22" s="238"/>
      <c r="G22" s="238"/>
      <c r="H22" s="238"/>
      <c r="I22" s="239"/>
    </row>
    <row r="23" spans="2:9" ht="15" customHeight="1" thickBot="1" x14ac:dyDescent="0.35">
      <c r="B23" s="272" t="str">
        <f>"EE_LB (MWh/sem) = "&amp;FIXED(C7,4,TRUE)&amp;" + "&amp;FIXED(C8,4,TRUE)&amp;"·P1 + "&amp;FIXED(C9,4,TRUE)&amp;"·P2 + "&amp;FIXED(C10,4,TRUE)&amp;"·Temp"</f>
        <v>EE_LB (MWh/sem) = 111,0055 + 2,6083·P1 + 1,4110·P2 + 1,7384·Temp</v>
      </c>
      <c r="C23" s="235"/>
      <c r="D23" s="235"/>
      <c r="E23" s="235"/>
      <c r="F23" s="235"/>
      <c r="G23" s="235"/>
      <c r="H23" s="235"/>
      <c r="I23" s="236"/>
    </row>
    <row r="24" spans="2:9" ht="15" customHeight="1" thickBot="1" x14ac:dyDescent="0.35"/>
    <row r="25" spans="2:9" ht="15" customHeight="1" thickBot="1" x14ac:dyDescent="0.35">
      <c r="B25" s="259" t="s">
        <v>194</v>
      </c>
      <c r="C25" s="260"/>
      <c r="D25" s="270"/>
      <c r="E25" s="271"/>
    </row>
    <row r="26" spans="2:9" ht="15" customHeight="1" thickBot="1" x14ac:dyDescent="0.35">
      <c r="B26" s="214" t="s">
        <v>195</v>
      </c>
      <c r="C26" s="215" t="s">
        <v>196</v>
      </c>
      <c r="D26" s="86" t="s">
        <v>197</v>
      </c>
      <c r="E26" s="88" t="s">
        <v>2</v>
      </c>
    </row>
    <row r="27" spans="2:9" x14ac:dyDescent="0.3">
      <c r="B27" s="204" t="s">
        <v>198</v>
      </c>
      <c r="C27" s="131">
        <f>C13</f>
        <v>0.95131220608007305</v>
      </c>
      <c r="D27" s="207">
        <v>0.75</v>
      </c>
      <c r="E27" s="205" t="str">
        <f>IF(C27&gt;D27,"ATENDE","NÃO ATENDE")</f>
        <v>ATENDE</v>
      </c>
    </row>
    <row r="28" spans="2:9" x14ac:dyDescent="0.3">
      <c r="B28" s="202" t="s">
        <v>199</v>
      </c>
      <c r="C28" s="216">
        <f>C20</f>
        <v>1.3264461294652596E-2</v>
      </c>
      <c r="D28" s="208">
        <v>0.15</v>
      </c>
      <c r="E28" s="205" t="str">
        <f>IF(C28&lt;D28,"ATENDE","NÃO ATENDE")</f>
        <v>ATENDE</v>
      </c>
    </row>
    <row r="29" spans="2:9" ht="15" customHeight="1" thickBot="1" x14ac:dyDescent="0.35">
      <c r="B29" s="202" t="s">
        <v>200</v>
      </c>
      <c r="C29" s="134">
        <f>MIN(ABS(E7),ABS(E8),ABS(E9),ABS(E10))</f>
        <v>6.8940649343516096</v>
      </c>
      <c r="D29" s="209">
        <v>2</v>
      </c>
      <c r="E29" s="206" t="str">
        <f>IF(C29&gt;D29,"ATENDE","NÃO ATENDE")</f>
        <v>ATENDE</v>
      </c>
    </row>
    <row r="30" spans="2:9" x14ac:dyDescent="0.3">
      <c r="B30" s="202" t="s">
        <v>201</v>
      </c>
      <c r="C30" s="210">
        <f>SUM(G37:G88)/SUM(I37:I88)</f>
        <v>3.2097147496691862E-16</v>
      </c>
    </row>
    <row r="31" spans="2:9" x14ac:dyDescent="0.3">
      <c r="B31" s="202" t="s">
        <v>202</v>
      </c>
      <c r="C31" s="134">
        <f>SUMXMY2(G38:G88,G37:G87)/SUMSQ(G37:G88)</f>
        <v>1.6678186467556209</v>
      </c>
    </row>
    <row r="32" spans="2:9" x14ac:dyDescent="0.3">
      <c r="B32" s="202" t="s">
        <v>203</v>
      </c>
      <c r="C32" s="134">
        <f>AVERAGE('Ano 0 - Linha de Base'!$C$6:$C$57)</f>
        <v>260.53846153846149</v>
      </c>
    </row>
    <row r="33" spans="2:9" ht="15" customHeight="1" thickBot="1" x14ac:dyDescent="0.35">
      <c r="B33" s="203" t="s">
        <v>204</v>
      </c>
      <c r="C33" s="139">
        <f>SQRT(SUMSQ(G37:G88)/C17)</f>
        <v>3.4559023388452528</v>
      </c>
    </row>
    <row r="35" spans="2:9" ht="15" customHeight="1" thickBot="1" x14ac:dyDescent="0.35"/>
    <row r="36" spans="2:9" ht="27" customHeight="1" thickBot="1" x14ac:dyDescent="0.35">
      <c r="B36" s="37" t="s">
        <v>35</v>
      </c>
      <c r="C36" s="38" t="s">
        <v>57</v>
      </c>
      <c r="D36" s="38" t="s">
        <v>58</v>
      </c>
      <c r="E36" s="38" t="s">
        <v>62</v>
      </c>
      <c r="F36" s="38" t="s">
        <v>205</v>
      </c>
      <c r="G36" s="38" t="s">
        <v>206</v>
      </c>
      <c r="H36" s="38" t="s">
        <v>207</v>
      </c>
      <c r="I36" s="39" t="s">
        <v>208</v>
      </c>
    </row>
    <row r="37" spans="2:9" x14ac:dyDescent="0.3">
      <c r="B37" s="23">
        <f>'Ano 0 - Linha de Base'!B6</f>
        <v>1</v>
      </c>
      <c r="C37" s="24">
        <f>'Ano 0 - Linha de Base'!D6</f>
        <v>24</v>
      </c>
      <c r="D37" s="24">
        <f>'Ano 0 - Linha de Base'!E6</f>
        <v>37.4</v>
      </c>
      <c r="E37" s="24">
        <f>'Ano 0 - Linha de Base'!I6</f>
        <v>29.9</v>
      </c>
      <c r="F37" s="217">
        <f t="shared" ref="F37:F68" si="0">$C$7+$C$8*C37+$C$9*D37+$C$10*E37</f>
        <v>278.35271603767859</v>
      </c>
      <c r="G37" s="217">
        <f t="shared" ref="G37:G68" si="1">I37-F37</f>
        <v>-1.3527160376785901</v>
      </c>
      <c r="H37" s="217">
        <f t="shared" ref="H37:H68" si="2">G37^2</f>
        <v>1.8298406785928647</v>
      </c>
      <c r="I37" s="218">
        <f>'Ano 0 - Linha de Base'!C6</f>
        <v>277</v>
      </c>
    </row>
    <row r="38" spans="2:9" x14ac:dyDescent="0.3">
      <c r="B38" s="25">
        <f>'Ano 0 - Linha de Base'!B7</f>
        <v>2</v>
      </c>
      <c r="C38" s="21">
        <f>'Ano 0 - Linha de Base'!D7</f>
        <v>28</v>
      </c>
      <c r="D38" s="21">
        <f>'Ano 0 - Linha de Base'!E7</f>
        <v>39.299999999999997</v>
      </c>
      <c r="E38" s="21">
        <f>'Ano 0 - Linha de Base'!I7</f>
        <v>29.7</v>
      </c>
      <c r="F38" s="129">
        <f t="shared" si="0"/>
        <v>291.11896013442657</v>
      </c>
      <c r="G38" s="129">
        <f t="shared" si="1"/>
        <v>-2.3189601344265611</v>
      </c>
      <c r="H38" s="129">
        <f t="shared" si="2"/>
        <v>5.3775761050596547</v>
      </c>
      <c r="I38" s="176">
        <f>'Ano 0 - Linha de Base'!C7</f>
        <v>288.8</v>
      </c>
    </row>
    <row r="39" spans="2:9" x14ac:dyDescent="0.3">
      <c r="B39" s="25">
        <f>'Ano 0 - Linha de Base'!B8</f>
        <v>3</v>
      </c>
      <c r="C39" s="21">
        <f>'Ano 0 - Linha de Base'!D8</f>
        <v>25.2</v>
      </c>
      <c r="D39" s="21">
        <f>'Ano 0 - Linha de Base'!E8</f>
        <v>32.200000000000003</v>
      </c>
      <c r="E39" s="21">
        <f>'Ano 0 - Linha de Base'!I8</f>
        <v>30.5</v>
      </c>
      <c r="F39" s="129">
        <f t="shared" si="0"/>
        <v>275.18857704370589</v>
      </c>
      <c r="G39" s="129">
        <f t="shared" si="1"/>
        <v>0.51142295629409773</v>
      </c>
      <c r="H39" s="129">
        <f t="shared" si="2"/>
        <v>0.26155344022459459</v>
      </c>
      <c r="I39" s="176">
        <f>'Ano 0 - Linha de Base'!C8</f>
        <v>275.7</v>
      </c>
    </row>
    <row r="40" spans="2:9" x14ac:dyDescent="0.3">
      <c r="B40" s="25">
        <f>'Ano 0 - Linha de Base'!B9</f>
        <v>4</v>
      </c>
      <c r="C40" s="21">
        <f>'Ano 0 - Linha de Base'!D9</f>
        <v>26.6</v>
      </c>
      <c r="D40" s="21">
        <f>'Ano 0 - Linha de Base'!E9</f>
        <v>36.9</v>
      </c>
      <c r="E40" s="21">
        <f>'Ano 0 - Linha de Base'!I9</f>
        <v>31.2</v>
      </c>
      <c r="F40" s="129">
        <f t="shared" si="0"/>
        <v>286.6886350925065</v>
      </c>
      <c r="G40" s="129">
        <f t="shared" si="1"/>
        <v>-7.0886350925064789</v>
      </c>
      <c r="H40" s="129">
        <f t="shared" si="2"/>
        <v>50.248747474714335</v>
      </c>
      <c r="I40" s="176">
        <f>'Ano 0 - Linha de Base'!C9</f>
        <v>279.60000000000002</v>
      </c>
    </row>
    <row r="41" spans="2:9" x14ac:dyDescent="0.3">
      <c r="B41" s="25">
        <f>'Ano 0 - Linha de Base'!B10</f>
        <v>5</v>
      </c>
      <c r="C41" s="21">
        <f>'Ano 0 - Linha de Base'!D10</f>
        <v>26.6</v>
      </c>
      <c r="D41" s="21">
        <f>'Ano 0 - Linha de Base'!E10</f>
        <v>38.4</v>
      </c>
      <c r="E41" s="21">
        <f>'Ano 0 - Linha de Base'!I10</f>
        <v>29.8</v>
      </c>
      <c r="F41" s="129">
        <f t="shared" si="0"/>
        <v>286.37134633238628</v>
      </c>
      <c r="G41" s="129">
        <f t="shared" si="1"/>
        <v>-4.9713463323863039</v>
      </c>
      <c r="H41" s="129">
        <f t="shared" si="2"/>
        <v>24.714284356530754</v>
      </c>
      <c r="I41" s="176">
        <f>'Ano 0 - Linha de Base'!C10</f>
        <v>281.39999999999998</v>
      </c>
    </row>
    <row r="42" spans="2:9" x14ac:dyDescent="0.3">
      <c r="B42" s="25">
        <f>'Ano 0 - Linha de Base'!B11</f>
        <v>6</v>
      </c>
      <c r="C42" s="21">
        <f>'Ano 0 - Linha de Base'!D11</f>
        <v>26.2</v>
      </c>
      <c r="D42" s="21">
        <f>'Ano 0 - Linha de Base'!E11</f>
        <v>36</v>
      </c>
      <c r="E42" s="21">
        <f>'Ano 0 - Linha de Base'!I11</f>
        <v>29.6</v>
      </c>
      <c r="F42" s="129">
        <f t="shared" si="0"/>
        <v>281.59400781589011</v>
      </c>
      <c r="G42" s="129">
        <f t="shared" si="1"/>
        <v>4.8059921841098685</v>
      </c>
      <c r="H42" s="129">
        <f t="shared" si="2"/>
        <v>23.097560873725143</v>
      </c>
      <c r="I42" s="176">
        <f>'Ano 0 - Linha de Base'!C11</f>
        <v>286.39999999999998</v>
      </c>
    </row>
    <row r="43" spans="2:9" x14ac:dyDescent="0.3">
      <c r="B43" s="25">
        <f>'Ano 0 - Linha de Base'!B12</f>
        <v>7</v>
      </c>
      <c r="C43" s="21">
        <f>'Ano 0 - Linha de Base'!D12</f>
        <v>24.4</v>
      </c>
      <c r="D43" s="21">
        <f>'Ano 0 - Linha de Base'!E12</f>
        <v>42.1</v>
      </c>
      <c r="E43" s="21">
        <f>'Ano 0 - Linha de Base'!I12</f>
        <v>30.8</v>
      </c>
      <c r="F43" s="129">
        <f t="shared" si="0"/>
        <v>287.59218855984432</v>
      </c>
      <c r="G43" s="129">
        <f t="shared" si="1"/>
        <v>4.6078114401556718</v>
      </c>
      <c r="H43" s="129">
        <f t="shared" si="2"/>
        <v>21.231926268029486</v>
      </c>
      <c r="I43" s="176">
        <f>'Ano 0 - Linha de Base'!C12</f>
        <v>292.2</v>
      </c>
    </row>
    <row r="44" spans="2:9" x14ac:dyDescent="0.3">
      <c r="B44" s="25">
        <f>'Ano 0 - Linha de Base'!B13</f>
        <v>8</v>
      </c>
      <c r="C44" s="21">
        <f>'Ano 0 - Linha de Base'!D13</f>
        <v>26.2</v>
      </c>
      <c r="D44" s="21">
        <f>'Ano 0 - Linha de Base'!E13</f>
        <v>35.1</v>
      </c>
      <c r="E44" s="21">
        <f>'Ano 0 - Linha de Base'!I13</f>
        <v>29.8</v>
      </c>
      <c r="F44" s="129">
        <f t="shared" si="0"/>
        <v>280.67180549811218</v>
      </c>
      <c r="G44" s="129">
        <f t="shared" si="1"/>
        <v>-0.17180549811217816</v>
      </c>
      <c r="H44" s="129">
        <f t="shared" si="2"/>
        <v>2.9517129181573652E-2</v>
      </c>
      <c r="I44" s="176">
        <f>'Ano 0 - Linha de Base'!C13</f>
        <v>280.5</v>
      </c>
    </row>
    <row r="45" spans="2:9" x14ac:dyDescent="0.3">
      <c r="B45" s="25">
        <f>'Ano 0 - Linha de Base'!B14</f>
        <v>9</v>
      </c>
      <c r="C45" s="21">
        <f>'Ano 0 - Linha de Base'!D14</f>
        <v>23.2</v>
      </c>
      <c r="D45" s="21">
        <f>'Ano 0 - Linha de Base'!E14</f>
        <v>36.9</v>
      </c>
      <c r="E45" s="21">
        <f>'Ano 0 - Linha de Base'!I14</f>
        <v>28.3</v>
      </c>
      <c r="F45" s="129">
        <f t="shared" si="0"/>
        <v>272.77917468572412</v>
      </c>
      <c r="G45" s="129">
        <f t="shared" si="1"/>
        <v>2.3208253142759077</v>
      </c>
      <c r="H45" s="129">
        <f t="shared" si="2"/>
        <v>5.3862301393838656</v>
      </c>
      <c r="I45" s="176">
        <f>'Ano 0 - Linha de Base'!C14</f>
        <v>275.10000000000002</v>
      </c>
    </row>
    <row r="46" spans="2:9" x14ac:dyDescent="0.3">
      <c r="B46" s="25">
        <f>'Ano 0 - Linha de Base'!B15</f>
        <v>10</v>
      </c>
      <c r="C46" s="21">
        <f>'Ano 0 - Linha de Base'!D15</f>
        <v>23.7</v>
      </c>
      <c r="D46" s="21">
        <f>'Ano 0 - Linha de Base'!E15</f>
        <v>37.9</v>
      </c>
      <c r="E46" s="21">
        <f>'Ano 0 - Linha de Base'!I15</f>
        <v>28.5</v>
      </c>
      <c r="F46" s="129">
        <f t="shared" si="0"/>
        <v>275.84196745440158</v>
      </c>
      <c r="G46" s="129">
        <f t="shared" si="1"/>
        <v>1.1580325455984166</v>
      </c>
      <c r="H46" s="129">
        <f t="shared" si="2"/>
        <v>1.3410393766651489</v>
      </c>
      <c r="I46" s="176">
        <f>'Ano 0 - Linha de Base'!C15</f>
        <v>277</v>
      </c>
    </row>
    <row r="47" spans="2:9" x14ac:dyDescent="0.3">
      <c r="B47" s="25">
        <f>'Ano 0 - Linha de Base'!B16</f>
        <v>11</v>
      </c>
      <c r="C47" s="21">
        <f>'Ano 0 - Linha de Base'!D16</f>
        <v>22.8</v>
      </c>
      <c r="D47" s="21">
        <f>'Ano 0 - Linha de Base'!E16</f>
        <v>40.4</v>
      </c>
      <c r="E47" s="21">
        <f>'Ano 0 - Linha de Base'!I16</f>
        <v>27.1</v>
      </c>
      <c r="F47" s="129">
        <f t="shared" si="0"/>
        <v>274.58822004528247</v>
      </c>
      <c r="G47" s="129">
        <f t="shared" si="1"/>
        <v>9.5117799547175537</v>
      </c>
      <c r="H47" s="129">
        <f t="shared" si="2"/>
        <v>90.47395790696666</v>
      </c>
      <c r="I47" s="176">
        <f>'Ano 0 - Linha de Base'!C16</f>
        <v>284.10000000000002</v>
      </c>
    </row>
    <row r="48" spans="2:9" x14ac:dyDescent="0.3">
      <c r="B48" s="25">
        <f>'Ano 0 - Linha de Base'!B17</f>
        <v>12</v>
      </c>
      <c r="C48" s="21">
        <f>'Ano 0 - Linha de Base'!D17</f>
        <v>23.2</v>
      </c>
      <c r="D48" s="21">
        <f>'Ano 0 - Linha de Base'!E17</f>
        <v>33.700000000000003</v>
      </c>
      <c r="E48" s="21">
        <f>'Ano 0 - Linha de Base'!I17</f>
        <v>26.4</v>
      </c>
      <c r="F48" s="129">
        <f t="shared" si="0"/>
        <v>264.96107929447965</v>
      </c>
      <c r="G48" s="129">
        <f t="shared" si="1"/>
        <v>4.5389207055203542</v>
      </c>
      <c r="H48" s="129">
        <f t="shared" si="2"/>
        <v>20.601801171001391</v>
      </c>
      <c r="I48" s="176">
        <f>'Ano 0 - Linha de Base'!C17</f>
        <v>269.5</v>
      </c>
    </row>
    <row r="49" spans="2:9" x14ac:dyDescent="0.3">
      <c r="B49" s="25">
        <f>'Ano 0 - Linha de Base'!B18</f>
        <v>13</v>
      </c>
      <c r="C49" s="21">
        <f>'Ano 0 - Linha de Base'!D18</f>
        <v>26.7</v>
      </c>
      <c r="D49" s="21">
        <f>'Ano 0 - Linha de Base'!E18</f>
        <v>39.1</v>
      </c>
      <c r="E49" s="21">
        <f>'Ano 0 - Linha de Base'!I18</f>
        <v>26.2</v>
      </c>
      <c r="F49" s="129">
        <f t="shared" si="0"/>
        <v>281.36162141240857</v>
      </c>
      <c r="G49" s="129">
        <f t="shared" si="1"/>
        <v>-0.96162141240859</v>
      </c>
      <c r="H49" s="129">
        <f t="shared" si="2"/>
        <v>0.92471574080269159</v>
      </c>
      <c r="I49" s="176">
        <f>'Ano 0 - Linha de Base'!C18</f>
        <v>280.39999999999998</v>
      </c>
    </row>
    <row r="50" spans="2:9" x14ac:dyDescent="0.3">
      <c r="B50" s="25">
        <f>'Ano 0 - Linha de Base'!B19</f>
        <v>14</v>
      </c>
      <c r="C50" s="21">
        <f>'Ano 0 - Linha de Base'!D19</f>
        <v>18.5</v>
      </c>
      <c r="D50" s="21">
        <f>'Ano 0 - Linha de Base'!E19</f>
        <v>36.200000000000003</v>
      </c>
      <c r="E50" s="21">
        <f>'Ano 0 - Linha de Base'!I19</f>
        <v>23.6</v>
      </c>
      <c r="F50" s="129">
        <f t="shared" si="0"/>
        <v>251.36216432240388</v>
      </c>
      <c r="G50" s="129">
        <f t="shared" si="1"/>
        <v>-2.2621643224038905</v>
      </c>
      <c r="H50" s="129">
        <f t="shared" si="2"/>
        <v>5.1173874215570532</v>
      </c>
      <c r="I50" s="176">
        <f>'Ano 0 - Linha de Base'!C19</f>
        <v>249.1</v>
      </c>
    </row>
    <row r="51" spans="2:9" x14ac:dyDescent="0.3">
      <c r="B51" s="25">
        <f>'Ano 0 - Linha de Base'!B20</f>
        <v>15</v>
      </c>
      <c r="C51" s="21">
        <f>'Ano 0 - Linha de Base'!D20</f>
        <v>22.6</v>
      </c>
      <c r="D51" s="21">
        <f>'Ano 0 - Linha de Base'!E20</f>
        <v>33.6</v>
      </c>
      <c r="E51" s="21">
        <f>'Ano 0 - Linha de Base'!I20</f>
        <v>22.9</v>
      </c>
      <c r="F51" s="129">
        <f t="shared" si="0"/>
        <v>257.17062436839751</v>
      </c>
      <c r="G51" s="129">
        <f t="shared" si="1"/>
        <v>-4.270624368397506</v>
      </c>
      <c r="H51" s="129">
        <f t="shared" si="2"/>
        <v>18.238232495950598</v>
      </c>
      <c r="I51" s="176">
        <f>'Ano 0 - Linha de Base'!C20</f>
        <v>252.9</v>
      </c>
    </row>
    <row r="52" spans="2:9" x14ac:dyDescent="0.3">
      <c r="B52" s="25">
        <f>'Ano 0 - Linha de Base'!B21</f>
        <v>16</v>
      </c>
      <c r="C52" s="21">
        <f>'Ano 0 - Linha de Base'!D21</f>
        <v>17.899999999999999</v>
      </c>
      <c r="D52" s="21">
        <f>'Ano 0 - Linha de Base'!E21</f>
        <v>36.5</v>
      </c>
      <c r="E52" s="21">
        <f>'Ano 0 - Linha de Base'!I21</f>
        <v>23</v>
      </c>
      <c r="F52" s="129">
        <f t="shared" si="0"/>
        <v>249.17745954737694</v>
      </c>
      <c r="G52" s="129">
        <f t="shared" si="1"/>
        <v>1.4225404526230534</v>
      </c>
      <c r="H52" s="129">
        <f t="shared" si="2"/>
        <v>2.0236213393490017</v>
      </c>
      <c r="I52" s="176">
        <f>'Ano 0 - Linha de Base'!C21</f>
        <v>250.6</v>
      </c>
    </row>
    <row r="53" spans="2:9" x14ac:dyDescent="0.3">
      <c r="B53" s="25">
        <f>'Ano 0 - Linha de Base'!B22</f>
        <v>17</v>
      </c>
      <c r="C53" s="21">
        <f>'Ano 0 - Linha de Base'!D22</f>
        <v>19.600000000000001</v>
      </c>
      <c r="D53" s="21">
        <f>'Ano 0 - Linha de Base'!E22</f>
        <v>35.5</v>
      </c>
      <c r="E53" s="21">
        <f>'Ano 0 - Linha de Base'!I22</f>
        <v>21.7</v>
      </c>
      <c r="F53" s="129">
        <f t="shared" si="0"/>
        <v>249.9406113767634</v>
      </c>
      <c r="G53" s="129">
        <f t="shared" si="1"/>
        <v>-1.740611376763411</v>
      </c>
      <c r="H53" s="129">
        <f t="shared" si="2"/>
        <v>3.0297279649182172</v>
      </c>
      <c r="I53" s="176">
        <f>'Ano 0 - Linha de Base'!C22</f>
        <v>248.2</v>
      </c>
    </row>
    <row r="54" spans="2:9" x14ac:dyDescent="0.3">
      <c r="B54" s="25">
        <f>'Ano 0 - Linha de Base'!B23</f>
        <v>18</v>
      </c>
      <c r="C54" s="21">
        <f>'Ano 0 - Linha de Base'!D23</f>
        <v>22.1</v>
      </c>
      <c r="D54" s="21">
        <f>'Ano 0 - Linha de Base'!E23</f>
        <v>33.5</v>
      </c>
      <c r="E54" s="21">
        <f>'Ano 0 - Linha de Base'!I23</f>
        <v>21.8</v>
      </c>
      <c r="F54" s="129">
        <f t="shared" si="0"/>
        <v>253.81315438359943</v>
      </c>
      <c r="G54" s="129">
        <f t="shared" si="1"/>
        <v>-3.7131543835994307</v>
      </c>
      <c r="H54" s="129">
        <f t="shared" si="2"/>
        <v>13.787515476443668</v>
      </c>
      <c r="I54" s="176">
        <f>'Ano 0 - Linha de Base'!C23</f>
        <v>250.1</v>
      </c>
    </row>
    <row r="55" spans="2:9" x14ac:dyDescent="0.3">
      <c r="B55" s="25">
        <f>'Ano 0 - Linha de Base'!B24</f>
        <v>19</v>
      </c>
      <c r="C55" s="21">
        <f>'Ano 0 - Linha de Base'!D24</f>
        <v>20.100000000000001</v>
      </c>
      <c r="D55" s="21">
        <f>'Ano 0 - Linha de Base'!E24</f>
        <v>34.700000000000003</v>
      </c>
      <c r="E55" s="21">
        <f>'Ano 0 - Linha de Base'!I24</f>
        <v>20</v>
      </c>
      <c r="F55" s="129">
        <f t="shared" si="0"/>
        <v>247.16068104136147</v>
      </c>
      <c r="G55" s="129">
        <f t="shared" si="1"/>
        <v>-1.3606810413614596</v>
      </c>
      <c r="H55" s="129">
        <f t="shared" si="2"/>
        <v>1.8514528963205061</v>
      </c>
      <c r="I55" s="176">
        <f>'Ano 0 - Linha de Base'!C24</f>
        <v>245.8</v>
      </c>
    </row>
    <row r="56" spans="2:9" x14ac:dyDescent="0.3">
      <c r="B56" s="25">
        <f>'Ano 0 - Linha de Base'!B25</f>
        <v>20</v>
      </c>
      <c r="C56" s="21">
        <f>'Ano 0 - Linha de Base'!D25</f>
        <v>18.100000000000001</v>
      </c>
      <c r="D56" s="21">
        <f>'Ano 0 - Linha de Base'!E25</f>
        <v>33.4</v>
      </c>
      <c r="E56" s="21">
        <f>'Ano 0 - Linha de Base'!I25</f>
        <v>18.7</v>
      </c>
      <c r="F56" s="129">
        <f t="shared" si="0"/>
        <v>237.84995685339919</v>
      </c>
      <c r="G56" s="129">
        <f t="shared" si="1"/>
        <v>-2.3499568533991919</v>
      </c>
      <c r="H56" s="129">
        <f t="shared" si="2"/>
        <v>5.5222972128378309</v>
      </c>
      <c r="I56" s="176">
        <f>'Ano 0 - Linha de Base'!C25</f>
        <v>235.5</v>
      </c>
    </row>
    <row r="57" spans="2:9" x14ac:dyDescent="0.3">
      <c r="B57" s="25">
        <f>'Ano 0 - Linha de Base'!B26</f>
        <v>21</v>
      </c>
      <c r="C57" s="21">
        <f>'Ano 0 - Linha de Base'!D26</f>
        <v>18.899999999999999</v>
      </c>
      <c r="D57" s="21">
        <f>'Ano 0 - Linha de Base'!E26</f>
        <v>34.299999999999997</v>
      </c>
      <c r="E57" s="21">
        <f>'Ano 0 - Linha de Base'!I26</f>
        <v>20.2</v>
      </c>
      <c r="F57" s="129">
        <f t="shared" si="0"/>
        <v>243.81405035398677</v>
      </c>
      <c r="G57" s="129">
        <f t="shared" si="1"/>
        <v>6.3859496460132164</v>
      </c>
      <c r="H57" s="129">
        <f t="shared" si="2"/>
        <v>40.78035288141632</v>
      </c>
      <c r="I57" s="176">
        <f>'Ano 0 - Linha de Base'!C26</f>
        <v>250.2</v>
      </c>
    </row>
    <row r="58" spans="2:9" x14ac:dyDescent="0.3">
      <c r="B58" s="25">
        <f>'Ano 0 - Linha de Base'!B27</f>
        <v>22</v>
      </c>
      <c r="C58" s="21">
        <f>'Ano 0 - Linha de Base'!D27</f>
        <v>21.7</v>
      </c>
      <c r="D58" s="21">
        <f>'Ano 0 - Linha de Base'!E27</f>
        <v>35.299999999999997</v>
      </c>
      <c r="E58" s="21">
        <f>'Ano 0 - Linha de Base'!I27</f>
        <v>18.100000000000001</v>
      </c>
      <c r="F58" s="129">
        <f t="shared" si="0"/>
        <v>248.87753505910567</v>
      </c>
      <c r="G58" s="129">
        <f t="shared" si="1"/>
        <v>3.1224649408943321</v>
      </c>
      <c r="H58" s="129">
        <f t="shared" si="2"/>
        <v>9.7497873071142447</v>
      </c>
      <c r="I58" s="176">
        <f>'Ano 0 - Linha de Base'!C27</f>
        <v>252</v>
      </c>
    </row>
    <row r="59" spans="2:9" x14ac:dyDescent="0.3">
      <c r="B59" s="25">
        <f>'Ano 0 - Linha de Base'!B28</f>
        <v>23</v>
      </c>
      <c r="C59" s="21">
        <f>'Ano 0 - Linha de Base'!D28</f>
        <v>19.5</v>
      </c>
      <c r="D59" s="21">
        <f>'Ano 0 - Linha de Base'!E28</f>
        <v>37.200000000000003</v>
      </c>
      <c r="E59" s="21">
        <f>'Ano 0 - Linha de Base'!I28</f>
        <v>17.600000000000001</v>
      </c>
      <c r="F59" s="129">
        <f t="shared" si="0"/>
        <v>244.95101391614048</v>
      </c>
      <c r="G59" s="129">
        <f t="shared" si="1"/>
        <v>4.8986083859517748E-2</v>
      </c>
      <c r="H59" s="129">
        <f t="shared" si="2"/>
        <v>2.3996364118917053E-3</v>
      </c>
      <c r="I59" s="176">
        <f>'Ano 0 - Linha de Base'!C28</f>
        <v>245</v>
      </c>
    </row>
    <row r="60" spans="2:9" x14ac:dyDescent="0.3">
      <c r="B60" s="25">
        <f>'Ano 0 - Linha de Base'!B29</f>
        <v>24</v>
      </c>
      <c r="C60" s="21">
        <f>'Ano 0 - Linha de Base'!D29</f>
        <v>21.7</v>
      </c>
      <c r="D60" s="21">
        <f>'Ano 0 - Linha de Base'!E29</f>
        <v>30.9</v>
      </c>
      <c r="E60" s="21">
        <f>'Ano 0 - Linha de Base'!I29</f>
        <v>15.7</v>
      </c>
      <c r="F60" s="129">
        <f t="shared" si="0"/>
        <v>238.49706375464945</v>
      </c>
      <c r="G60" s="129">
        <f t="shared" si="1"/>
        <v>5.8029362453505655</v>
      </c>
      <c r="H60" s="129">
        <f t="shared" si="2"/>
        <v>33.67406906760332</v>
      </c>
      <c r="I60" s="176">
        <f>'Ano 0 - Linha de Base'!C29</f>
        <v>244.3</v>
      </c>
    </row>
    <row r="61" spans="2:9" x14ac:dyDescent="0.3">
      <c r="B61" s="25">
        <f>'Ano 0 - Linha de Base'!B30</f>
        <v>25</v>
      </c>
      <c r="C61" s="21">
        <f>'Ano 0 - Linha de Base'!D30</f>
        <v>22</v>
      </c>
      <c r="D61" s="21">
        <f>'Ano 0 - Linha de Base'!E30</f>
        <v>38.200000000000003</v>
      </c>
      <c r="E61" s="21">
        <f>'Ano 0 - Linha de Base'!I30</f>
        <v>15.9</v>
      </c>
      <c r="F61" s="129">
        <f t="shared" si="0"/>
        <v>249.92737873687676</v>
      </c>
      <c r="G61" s="129">
        <f t="shared" si="1"/>
        <v>-0.22737873687677279</v>
      </c>
      <c r="H61" s="129">
        <f t="shared" si="2"/>
        <v>5.1701089983676674E-2</v>
      </c>
      <c r="I61" s="176">
        <f>'Ano 0 - Linha de Base'!C30</f>
        <v>249.7</v>
      </c>
    </row>
    <row r="62" spans="2:9" x14ac:dyDescent="0.3">
      <c r="B62" s="25">
        <f>'Ano 0 - Linha de Base'!B31</f>
        <v>26</v>
      </c>
      <c r="C62" s="21">
        <f>'Ano 0 - Linha de Base'!D31</f>
        <v>21.3</v>
      </c>
      <c r="D62" s="21">
        <f>'Ano 0 - Linha de Base'!E31</f>
        <v>29.2</v>
      </c>
      <c r="E62" s="21">
        <f>'Ano 0 - Linha de Base'!I31</f>
        <v>15.9</v>
      </c>
      <c r="F62" s="129">
        <f t="shared" si="0"/>
        <v>235.40277111539203</v>
      </c>
      <c r="G62" s="129">
        <f t="shared" si="1"/>
        <v>-1.2027711153920393</v>
      </c>
      <c r="H62" s="129">
        <f t="shared" si="2"/>
        <v>1.4466583560214104</v>
      </c>
      <c r="I62" s="176">
        <f>'Ano 0 - Linha de Base'!C31</f>
        <v>234.2</v>
      </c>
    </row>
    <row r="63" spans="2:9" x14ac:dyDescent="0.3">
      <c r="B63" s="25">
        <f>'Ano 0 - Linha de Base'!B32</f>
        <v>27</v>
      </c>
      <c r="C63" s="21">
        <f>'Ano 0 - Linha de Base'!D32</f>
        <v>27</v>
      </c>
      <c r="D63" s="21">
        <f>'Ano 0 - Linha de Base'!E32</f>
        <v>33.200000000000003</v>
      </c>
      <c r="E63" s="21">
        <f>'Ano 0 - Linha de Base'!I32</f>
        <v>14.6</v>
      </c>
      <c r="F63" s="129">
        <f t="shared" si="0"/>
        <v>253.65388554421992</v>
      </c>
      <c r="G63" s="129">
        <f t="shared" si="1"/>
        <v>4.8461144557800822</v>
      </c>
      <c r="H63" s="129">
        <f t="shared" si="2"/>
        <v>23.484825318520681</v>
      </c>
      <c r="I63" s="176">
        <f>'Ano 0 - Linha de Base'!C32</f>
        <v>258.5</v>
      </c>
    </row>
    <row r="64" spans="2:9" x14ac:dyDescent="0.3">
      <c r="B64" s="25">
        <f>'Ano 0 - Linha de Base'!B33</f>
        <v>28</v>
      </c>
      <c r="C64" s="21">
        <f>'Ano 0 - Linha de Base'!D33</f>
        <v>24.8</v>
      </c>
      <c r="D64" s="21">
        <f>'Ano 0 - Linha de Base'!E33</f>
        <v>34.9</v>
      </c>
      <c r="E64" s="21">
        <f>'Ano 0 - Linha de Base'!I33</f>
        <v>15.5</v>
      </c>
      <c r="F64" s="129">
        <f t="shared" si="0"/>
        <v>251.87892742802816</v>
      </c>
      <c r="G64" s="129">
        <f t="shared" si="1"/>
        <v>1.6210725719718369</v>
      </c>
      <c r="H64" s="129">
        <f t="shared" si="2"/>
        <v>2.6278762835993863</v>
      </c>
      <c r="I64" s="176">
        <f>'Ano 0 - Linha de Base'!C33</f>
        <v>253.5</v>
      </c>
    </row>
    <row r="65" spans="2:9" x14ac:dyDescent="0.3">
      <c r="B65" s="25">
        <f>'Ano 0 - Linha de Base'!B34</f>
        <v>29</v>
      </c>
      <c r="C65" s="21">
        <f>'Ano 0 - Linha de Base'!D34</f>
        <v>20.5</v>
      </c>
      <c r="D65" s="21">
        <f>'Ano 0 - Linha de Base'!E34</f>
        <v>34.299999999999997</v>
      </c>
      <c r="E65" s="21">
        <f>'Ano 0 - Linha de Base'!I34</f>
        <v>14.6</v>
      </c>
      <c r="F65" s="129">
        <f t="shared" si="0"/>
        <v>238.25223871233965</v>
      </c>
      <c r="G65" s="129">
        <f t="shared" si="1"/>
        <v>-2.8522387123396413</v>
      </c>
      <c r="H65" s="129">
        <f t="shared" si="2"/>
        <v>8.1352656721688952</v>
      </c>
      <c r="I65" s="176">
        <f>'Ano 0 - Linha de Base'!C34</f>
        <v>235.4</v>
      </c>
    </row>
    <row r="66" spans="2:9" x14ac:dyDescent="0.3">
      <c r="B66" s="25">
        <f>'Ano 0 - Linha de Base'!B35</f>
        <v>30</v>
      </c>
      <c r="C66" s="21">
        <f>'Ano 0 - Linha de Base'!D35</f>
        <v>24.9</v>
      </c>
      <c r="D66" s="21">
        <f>'Ano 0 - Linha de Base'!E35</f>
        <v>32.5</v>
      </c>
      <c r="E66" s="21">
        <f>'Ano 0 - Linha de Base'!I35</f>
        <v>14.8</v>
      </c>
      <c r="F66" s="129">
        <f t="shared" si="0"/>
        <v>247.53652194119317</v>
      </c>
      <c r="G66" s="129">
        <f t="shared" si="1"/>
        <v>-0.2365219411931605</v>
      </c>
      <c r="H66" s="129">
        <f t="shared" si="2"/>
        <v>5.5942628665780876E-2</v>
      </c>
      <c r="I66" s="176">
        <f>'Ano 0 - Linha de Base'!C35</f>
        <v>247.3</v>
      </c>
    </row>
    <row r="67" spans="2:9" x14ac:dyDescent="0.3">
      <c r="B67" s="25">
        <f>'Ano 0 - Linha de Base'!B36</f>
        <v>31</v>
      </c>
      <c r="C67" s="21">
        <f>'Ano 0 - Linha de Base'!D36</f>
        <v>23.6</v>
      </c>
      <c r="D67" s="21">
        <f>'Ano 0 - Linha de Base'!E36</f>
        <v>33.6</v>
      </c>
      <c r="E67" s="21">
        <f>'Ano 0 - Linha de Base'!I36</f>
        <v>14.6</v>
      </c>
      <c r="F67" s="129">
        <f t="shared" si="0"/>
        <v>245.35017528849266</v>
      </c>
      <c r="G67" s="129">
        <f t="shared" si="1"/>
        <v>-2.5501752884926532</v>
      </c>
      <c r="H67" s="129">
        <f t="shared" si="2"/>
        <v>6.5033940020385872</v>
      </c>
      <c r="I67" s="176">
        <f>'Ano 0 - Linha de Base'!C36</f>
        <v>242.8</v>
      </c>
    </row>
    <row r="68" spans="2:9" x14ac:dyDescent="0.3">
      <c r="B68" s="25">
        <f>'Ano 0 - Linha de Base'!B37</f>
        <v>32</v>
      </c>
      <c r="C68" s="21">
        <f>'Ano 0 - Linha de Base'!D37</f>
        <v>26.5</v>
      </c>
      <c r="D68" s="21">
        <f>'Ano 0 - Linha de Base'!E37</f>
        <v>33.200000000000003</v>
      </c>
      <c r="E68" s="21">
        <f>'Ano 0 - Linha de Base'!I37</f>
        <v>16.7</v>
      </c>
      <c r="F68" s="129">
        <f t="shared" si="0"/>
        <v>256.00039144918389</v>
      </c>
      <c r="G68" s="129">
        <f t="shared" si="1"/>
        <v>-4.3003914491839055</v>
      </c>
      <c r="H68" s="129">
        <f t="shared" si="2"/>
        <v>18.49336661621405</v>
      </c>
      <c r="I68" s="176">
        <f>'Ano 0 - Linha de Base'!C37</f>
        <v>251.7</v>
      </c>
    </row>
    <row r="69" spans="2:9" x14ac:dyDescent="0.3">
      <c r="B69" s="25">
        <f>'Ano 0 - Linha de Base'!B38</f>
        <v>33</v>
      </c>
      <c r="C69" s="21">
        <f>'Ano 0 - Linha de Base'!D38</f>
        <v>23.6</v>
      </c>
      <c r="D69" s="21">
        <f>'Ano 0 - Linha de Base'!E38</f>
        <v>33.200000000000003</v>
      </c>
      <c r="E69" s="21">
        <f>'Ano 0 - Linha de Base'!I38</f>
        <v>15.5</v>
      </c>
      <c r="F69" s="129">
        <f t="shared" ref="F69:F100" si="3">$C$7+$C$8*C69+$C$9*D69+$C$10*E69</f>
        <v>246.35034260717214</v>
      </c>
      <c r="G69" s="129">
        <f t="shared" ref="G69:G100" si="4">I69-F69</f>
        <v>3.3496573928278508</v>
      </c>
      <c r="H69" s="129">
        <f t="shared" ref="H69:H100" si="5">G69^2</f>
        <v>11.220204649326275</v>
      </c>
      <c r="I69" s="176">
        <f>'Ano 0 - Linha de Base'!C38</f>
        <v>249.7</v>
      </c>
    </row>
    <row r="70" spans="2:9" x14ac:dyDescent="0.3">
      <c r="B70" s="25">
        <f>'Ano 0 - Linha de Base'!B39</f>
        <v>34</v>
      </c>
      <c r="C70" s="21">
        <f>'Ano 0 - Linha de Base'!D39</f>
        <v>24.6</v>
      </c>
      <c r="D70" s="21">
        <f>'Ano 0 - Linha de Base'!E39</f>
        <v>36.700000000000003</v>
      </c>
      <c r="E70" s="21">
        <f>'Ano 0 - Linha de Base'!I39</f>
        <v>15</v>
      </c>
      <c r="F70" s="129">
        <f t="shared" si="3"/>
        <v>253.02783905147732</v>
      </c>
      <c r="G70" s="129">
        <f t="shared" si="4"/>
        <v>5.6721609485226736</v>
      </c>
      <c r="H70" s="129">
        <f t="shared" si="5"/>
        <v>32.173409825945633</v>
      </c>
      <c r="I70" s="176">
        <f>'Ano 0 - Linha de Base'!C39</f>
        <v>258.7</v>
      </c>
    </row>
    <row r="71" spans="2:9" x14ac:dyDescent="0.3">
      <c r="B71" s="25">
        <f>'Ano 0 - Linha de Base'!B40</f>
        <v>35</v>
      </c>
      <c r="C71" s="21">
        <f>'Ano 0 - Linha de Base'!D40</f>
        <v>25.5</v>
      </c>
      <c r="D71" s="21">
        <f>'Ano 0 - Linha de Base'!E40</f>
        <v>35.9</v>
      </c>
      <c r="E71" s="21">
        <f>'Ano 0 - Linha de Base'!I40</f>
        <v>17</v>
      </c>
      <c r="F71" s="129">
        <f t="shared" si="3"/>
        <v>257.72329240978121</v>
      </c>
      <c r="G71" s="129">
        <f t="shared" si="4"/>
        <v>-4.7232924097812088</v>
      </c>
      <c r="H71" s="129">
        <f t="shared" si="5"/>
        <v>22.309491188296779</v>
      </c>
      <c r="I71" s="176">
        <f>'Ano 0 - Linha de Base'!C40</f>
        <v>253</v>
      </c>
    </row>
    <row r="72" spans="2:9" x14ac:dyDescent="0.3">
      <c r="B72" s="25">
        <f>'Ano 0 - Linha de Base'!B41</f>
        <v>36</v>
      </c>
      <c r="C72" s="21">
        <f>'Ano 0 - Linha de Base'!D41</f>
        <v>25.7</v>
      </c>
      <c r="D72" s="21">
        <f>'Ano 0 - Linha de Base'!E41</f>
        <v>33.9</v>
      </c>
      <c r="E72" s="21">
        <f>'Ano 0 - Linha de Base'!I41</f>
        <v>15.9</v>
      </c>
      <c r="F72" s="129">
        <f t="shared" si="3"/>
        <v>253.51074581068335</v>
      </c>
      <c r="G72" s="129">
        <f t="shared" si="4"/>
        <v>1.8892541893166594</v>
      </c>
      <c r="H72" s="129">
        <f t="shared" si="5"/>
        <v>3.5692813918505482</v>
      </c>
      <c r="I72" s="176">
        <f>'Ano 0 - Linha de Base'!C41</f>
        <v>255.4</v>
      </c>
    </row>
    <row r="73" spans="2:9" x14ac:dyDescent="0.3">
      <c r="B73" s="25">
        <f>'Ano 0 - Linha de Base'!B42</f>
        <v>37</v>
      </c>
      <c r="C73" s="21">
        <f>'Ano 0 - Linha de Base'!D42</f>
        <v>21.5</v>
      </c>
      <c r="D73" s="21">
        <f>'Ano 0 - Linha de Base'!E42</f>
        <v>37.799999999999997</v>
      </c>
      <c r="E73" s="21">
        <f>'Ano 0 - Linha de Base'!I42</f>
        <v>17.7</v>
      </c>
      <c r="F73" s="129">
        <f t="shared" si="3"/>
        <v>251.18797275955137</v>
      </c>
      <c r="G73" s="129">
        <f t="shared" si="4"/>
        <v>-2.2879727595513657</v>
      </c>
      <c r="H73" s="129">
        <f t="shared" si="5"/>
        <v>5.2348193484490917</v>
      </c>
      <c r="I73" s="176">
        <f>'Ano 0 - Linha de Base'!C42</f>
        <v>248.9</v>
      </c>
    </row>
    <row r="74" spans="2:9" x14ac:dyDescent="0.3">
      <c r="B74" s="25">
        <f>'Ano 0 - Linha de Base'!B43</f>
        <v>38</v>
      </c>
      <c r="C74" s="21">
        <f>'Ano 0 - Linha de Base'!D43</f>
        <v>22.5</v>
      </c>
      <c r="D74" s="21">
        <f>'Ano 0 - Linha de Base'!E43</f>
        <v>36.799999999999997</v>
      </c>
      <c r="E74" s="21">
        <f>'Ano 0 - Linha de Base'!I43</f>
        <v>16.7</v>
      </c>
      <c r="F74" s="129">
        <f t="shared" si="3"/>
        <v>250.64685861375585</v>
      </c>
      <c r="G74" s="129">
        <f t="shared" si="4"/>
        <v>-1.7468586137558475</v>
      </c>
      <c r="H74" s="129">
        <f t="shared" si="5"/>
        <v>3.0515150164530014</v>
      </c>
      <c r="I74" s="176">
        <f>'Ano 0 - Linha de Base'!C43</f>
        <v>248.9</v>
      </c>
    </row>
    <row r="75" spans="2:9" x14ac:dyDescent="0.3">
      <c r="B75" s="25">
        <f>'Ano 0 - Linha de Base'!B44</f>
        <v>39</v>
      </c>
      <c r="C75" s="21">
        <f>'Ano 0 - Linha de Base'!D44</f>
        <v>21.6</v>
      </c>
      <c r="D75" s="21">
        <f>'Ano 0 - Linha de Base'!E44</f>
        <v>38.299999999999997</v>
      </c>
      <c r="E75" s="21">
        <f>'Ano 0 - Linha de Base'!I44</f>
        <v>18</v>
      </c>
      <c r="F75" s="129">
        <f t="shared" si="3"/>
        <v>252.67580920169883</v>
      </c>
      <c r="G75" s="129">
        <f t="shared" si="4"/>
        <v>-2.1758092016988257</v>
      </c>
      <c r="H75" s="129">
        <f t="shared" si="5"/>
        <v>4.7341456821972816</v>
      </c>
      <c r="I75" s="176">
        <f>'Ano 0 - Linha de Base'!C44</f>
        <v>250.5</v>
      </c>
    </row>
    <row r="76" spans="2:9" x14ac:dyDescent="0.3">
      <c r="B76" s="25">
        <f>'Ano 0 - Linha de Base'!B45</f>
        <v>40</v>
      </c>
      <c r="C76" s="21">
        <f>'Ano 0 - Linha de Base'!D45</f>
        <v>20.7</v>
      </c>
      <c r="D76" s="21">
        <f>'Ano 0 - Linha de Base'!E45</f>
        <v>38.200000000000003</v>
      </c>
      <c r="E76" s="21">
        <f>'Ano 0 - Linha de Base'!I45</f>
        <v>20</v>
      </c>
      <c r="F76" s="129">
        <f t="shared" si="3"/>
        <v>253.66407099535172</v>
      </c>
      <c r="G76" s="129">
        <f t="shared" si="4"/>
        <v>-2.8640709953517103</v>
      </c>
      <c r="H76" s="129">
        <f t="shared" si="5"/>
        <v>8.2029026664149356</v>
      </c>
      <c r="I76" s="176">
        <f>'Ano 0 - Linha de Base'!C45</f>
        <v>250.8</v>
      </c>
    </row>
    <row r="77" spans="2:9" x14ac:dyDescent="0.3">
      <c r="B77" s="25">
        <f>'Ano 0 - Linha de Base'!B46</f>
        <v>41</v>
      </c>
      <c r="C77" s="21">
        <f>'Ano 0 - Linha de Base'!D46</f>
        <v>24.5</v>
      </c>
      <c r="D77" s="21">
        <f>'Ano 0 - Linha de Base'!E46</f>
        <v>35.4</v>
      </c>
      <c r="E77" s="21">
        <f>'Ano 0 - Linha de Base'!I46</f>
        <v>21.3</v>
      </c>
      <c r="F77" s="129">
        <f t="shared" si="3"/>
        <v>261.88465405056428</v>
      </c>
      <c r="G77" s="129">
        <f t="shared" si="4"/>
        <v>0.31534594943570937</v>
      </c>
      <c r="H77" s="129">
        <f t="shared" si="5"/>
        <v>9.9443067825508977E-2</v>
      </c>
      <c r="I77" s="176">
        <f>'Ano 0 - Linha de Base'!C46</f>
        <v>262.2</v>
      </c>
    </row>
    <row r="78" spans="2:9" x14ac:dyDescent="0.3">
      <c r="B78" s="25">
        <f>'Ano 0 - Linha de Base'!B47</f>
        <v>42</v>
      </c>
      <c r="C78" s="21">
        <f>'Ano 0 - Linha de Base'!D47</f>
        <v>21.6</v>
      </c>
      <c r="D78" s="21">
        <f>'Ano 0 - Linha de Base'!E47</f>
        <v>36.299999999999997</v>
      </c>
      <c r="E78" s="21">
        <f>'Ano 0 - Linha de Base'!I47</f>
        <v>21.7</v>
      </c>
      <c r="F78" s="129">
        <f t="shared" si="3"/>
        <v>256.28592632778378</v>
      </c>
      <c r="G78" s="129">
        <f t="shared" si="4"/>
        <v>-2.285926327783784</v>
      </c>
      <c r="H78" s="129">
        <f t="shared" si="5"/>
        <v>5.2254591760550557</v>
      </c>
      <c r="I78" s="176">
        <f>'Ano 0 - Linha de Base'!C47</f>
        <v>254</v>
      </c>
    </row>
    <row r="79" spans="2:9" x14ac:dyDescent="0.3">
      <c r="B79" s="25">
        <f>'Ano 0 - Linha de Base'!B48</f>
        <v>43</v>
      </c>
      <c r="C79" s="21">
        <f>'Ano 0 - Linha de Base'!D48</f>
        <v>18.2</v>
      </c>
      <c r="D79" s="21">
        <f>'Ano 0 - Linha de Base'!E48</f>
        <v>39.5</v>
      </c>
      <c r="E79" s="21">
        <f>'Ano 0 - Linha de Base'!I48</f>
        <v>22.4</v>
      </c>
      <c r="F79" s="129">
        <f t="shared" si="3"/>
        <v>253.14984018028497</v>
      </c>
      <c r="G79" s="129">
        <f t="shared" si="4"/>
        <v>0.95015981971502583</v>
      </c>
      <c r="H79" s="129">
        <f t="shared" si="5"/>
        <v>0.90280368300089042</v>
      </c>
      <c r="I79" s="176">
        <f>'Ano 0 - Linha de Base'!C48</f>
        <v>254.1</v>
      </c>
    </row>
    <row r="80" spans="2:9" x14ac:dyDescent="0.3">
      <c r="B80" s="25">
        <f>'Ano 0 - Linha de Base'!B49</f>
        <v>44</v>
      </c>
      <c r="C80" s="21">
        <f>'Ano 0 - Linha de Base'!D49</f>
        <v>21.8</v>
      </c>
      <c r="D80" s="21">
        <f>'Ano 0 - Linha de Base'!E49</f>
        <v>39.5</v>
      </c>
      <c r="E80" s="21">
        <f>'Ano 0 - Linha de Base'!I49</f>
        <v>23.2</v>
      </c>
      <c r="F80" s="129">
        <f t="shared" si="3"/>
        <v>263.93031506406459</v>
      </c>
      <c r="G80" s="129">
        <f t="shared" si="4"/>
        <v>-0.43031506406458675</v>
      </c>
      <c r="H80" s="129">
        <f t="shared" si="5"/>
        <v>0.18517105436090939</v>
      </c>
      <c r="I80" s="176">
        <f>'Ano 0 - Linha de Base'!C49</f>
        <v>263.5</v>
      </c>
    </row>
    <row r="81" spans="2:9" x14ac:dyDescent="0.3">
      <c r="B81" s="25">
        <f>'Ano 0 - Linha de Base'!B50</f>
        <v>45</v>
      </c>
      <c r="C81" s="21">
        <f>'Ano 0 - Linha de Base'!D50</f>
        <v>23.8</v>
      </c>
      <c r="D81" s="21">
        <f>'Ano 0 - Linha de Base'!E50</f>
        <v>38.4</v>
      </c>
      <c r="E81" s="21">
        <f>'Ano 0 - Linha de Base'!I50</f>
        <v>23.1</v>
      </c>
      <c r="F81" s="129">
        <f t="shared" si="3"/>
        <v>267.42092769194699</v>
      </c>
      <c r="G81" s="129">
        <f t="shared" si="4"/>
        <v>-1.0209276919470085</v>
      </c>
      <c r="H81" s="129">
        <f t="shared" si="5"/>
        <v>1.0422933521842459</v>
      </c>
      <c r="I81" s="176">
        <f>'Ano 0 - Linha de Base'!C50</f>
        <v>266.39999999999998</v>
      </c>
    </row>
    <row r="82" spans="2:9" x14ac:dyDescent="0.3">
      <c r="B82" s="25">
        <f>'Ano 0 - Linha de Base'!B51</f>
        <v>46</v>
      </c>
      <c r="C82" s="21">
        <f>'Ano 0 - Linha de Base'!D51</f>
        <v>21.9</v>
      </c>
      <c r="D82" s="21">
        <f>'Ano 0 - Linha de Base'!E51</f>
        <v>39</v>
      </c>
      <c r="E82" s="21">
        <f>'Ano 0 - Linha de Base'!I51</f>
        <v>24.6</v>
      </c>
      <c r="F82" s="129">
        <f t="shared" si="3"/>
        <v>265.91941056864891</v>
      </c>
      <c r="G82" s="129">
        <f t="shared" si="4"/>
        <v>-3.0194105686489365</v>
      </c>
      <c r="H82" s="129">
        <f t="shared" si="5"/>
        <v>9.1168401820688949</v>
      </c>
      <c r="I82" s="176">
        <f>'Ano 0 - Linha de Base'!C51</f>
        <v>262.89999999999998</v>
      </c>
    </row>
    <row r="83" spans="2:9" x14ac:dyDescent="0.3">
      <c r="B83" s="25">
        <f>'Ano 0 - Linha de Base'!B52</f>
        <v>47</v>
      </c>
      <c r="C83" s="21">
        <f>'Ano 0 - Linha de Base'!D52</f>
        <v>17.399999999999999</v>
      </c>
      <c r="D83" s="21">
        <f>'Ano 0 - Linha de Base'!E52</f>
        <v>41.8</v>
      </c>
      <c r="E83" s="21">
        <f>'Ano 0 - Linha de Base'!I52</f>
        <v>25.6</v>
      </c>
      <c r="F83" s="129">
        <f t="shared" si="3"/>
        <v>259.87136020653588</v>
      </c>
      <c r="G83" s="129">
        <f t="shared" si="4"/>
        <v>-1.9713602065359055</v>
      </c>
      <c r="H83" s="129">
        <f t="shared" si="5"/>
        <v>3.8862610639132877</v>
      </c>
      <c r="I83" s="176">
        <f>'Ano 0 - Linha de Base'!C52</f>
        <v>257.89999999999998</v>
      </c>
    </row>
    <row r="84" spans="2:9" x14ac:dyDescent="0.3">
      <c r="B84" s="25">
        <f>'Ano 0 - Linha de Base'!B53</f>
        <v>48</v>
      </c>
      <c r="C84" s="21">
        <f>'Ano 0 - Linha de Base'!D53</f>
        <v>19.600000000000001</v>
      </c>
      <c r="D84" s="21">
        <f>'Ano 0 - Linha de Base'!E53</f>
        <v>37.9</v>
      </c>
      <c r="E84" s="21">
        <f>'Ano 0 - Linha de Base'!I53</f>
        <v>27.6</v>
      </c>
      <c r="F84" s="129">
        <f t="shared" si="3"/>
        <v>263.58351994047644</v>
      </c>
      <c r="G84" s="129">
        <f t="shared" si="4"/>
        <v>3.0164800595235874</v>
      </c>
      <c r="H84" s="129">
        <f t="shared" si="5"/>
        <v>9.0991519495034261</v>
      </c>
      <c r="I84" s="176">
        <f>'Ano 0 - Linha de Base'!C53</f>
        <v>266.60000000000002</v>
      </c>
    </row>
    <row r="85" spans="2:9" x14ac:dyDescent="0.3">
      <c r="B85" s="25">
        <f>'Ano 0 - Linha de Base'!B54</f>
        <v>49</v>
      </c>
      <c r="C85" s="21">
        <f>'Ano 0 - Linha de Base'!D54</f>
        <v>23.1</v>
      </c>
      <c r="D85" s="21">
        <f>'Ano 0 - Linha de Base'!E54</f>
        <v>40.5</v>
      </c>
      <c r="E85" s="21">
        <f>'Ano 0 - Linha de Base'!I54</f>
        <v>27.7</v>
      </c>
      <c r="F85" s="129">
        <f t="shared" si="3"/>
        <v>276.55483728431756</v>
      </c>
      <c r="G85" s="129">
        <f t="shared" si="4"/>
        <v>1.2451627156824543</v>
      </c>
      <c r="H85" s="129">
        <f t="shared" si="5"/>
        <v>1.5504301885257046</v>
      </c>
      <c r="I85" s="176">
        <f>'Ano 0 - Linha de Base'!C54</f>
        <v>277.8</v>
      </c>
    </row>
    <row r="86" spans="2:9" x14ac:dyDescent="0.3">
      <c r="B86" s="25">
        <f>'Ano 0 - Linha de Base'!B55</f>
        <v>50</v>
      </c>
      <c r="C86" s="21">
        <f>'Ano 0 - Linha de Base'!D55</f>
        <v>20.100000000000001</v>
      </c>
      <c r="D86" s="21">
        <f>'Ano 0 - Linha de Base'!E55</f>
        <v>39</v>
      </c>
      <c r="E86" s="21">
        <f>'Ano 0 - Linha de Base'!I55</f>
        <v>26.7</v>
      </c>
      <c r="F86" s="129">
        <f t="shared" si="3"/>
        <v>264.87517146211093</v>
      </c>
      <c r="G86" s="129">
        <f t="shared" si="4"/>
        <v>-2.8751714621109272</v>
      </c>
      <c r="H86" s="129">
        <f t="shared" si="5"/>
        <v>8.2666109365370879</v>
      </c>
      <c r="I86" s="176">
        <f>'Ano 0 - Linha de Base'!C55</f>
        <v>262</v>
      </c>
    </row>
    <row r="87" spans="2:9" x14ac:dyDescent="0.3">
      <c r="B87" s="25">
        <f>'Ano 0 - Linha de Base'!B56</f>
        <v>51</v>
      </c>
      <c r="C87" s="21">
        <f>'Ano 0 - Linha de Base'!D56</f>
        <v>22.7</v>
      </c>
      <c r="D87" s="21">
        <f>'Ano 0 - Linha de Base'!E56</f>
        <v>39</v>
      </c>
      <c r="E87" s="21">
        <f>'Ano 0 - Linha de Base'!I56</f>
        <v>28.9</v>
      </c>
      <c r="F87" s="129">
        <f t="shared" si="3"/>
        <v>275.48114002022442</v>
      </c>
      <c r="G87" s="129">
        <f t="shared" si="4"/>
        <v>0.41885997977556144</v>
      </c>
      <c r="H87" s="129">
        <f t="shared" si="5"/>
        <v>0.17544368265758373</v>
      </c>
      <c r="I87" s="176">
        <f>'Ano 0 - Linha de Base'!C56</f>
        <v>275.89999999999998</v>
      </c>
    </row>
    <row r="88" spans="2:9" ht="15" customHeight="1" thickBot="1" x14ac:dyDescent="0.35">
      <c r="B88" s="177">
        <f>'Ano 0 - Linha de Base'!B57</f>
        <v>52</v>
      </c>
      <c r="C88" s="138">
        <f>'Ano 0 - Linha de Base'!D57</f>
        <v>23.9</v>
      </c>
      <c r="D88" s="138">
        <f>'Ano 0 - Linha de Base'!E57</f>
        <v>41.9</v>
      </c>
      <c r="E88" s="138">
        <f>'Ano 0 - Linha de Base'!I57</f>
        <v>28.8</v>
      </c>
      <c r="F88" s="219">
        <f t="shared" si="3"/>
        <v>282.52906115380779</v>
      </c>
      <c r="G88" s="219">
        <f t="shared" si="4"/>
        <v>1.7709388461922231</v>
      </c>
      <c r="H88" s="219">
        <f t="shared" si="5"/>
        <v>3.1362243969526422</v>
      </c>
      <c r="I88" s="178">
        <f>'Ano 0 - Linha de Base'!C57</f>
        <v>284.3</v>
      </c>
    </row>
  </sheetData>
  <mergeCells count="8">
    <mergeCell ref="D25:E25"/>
    <mergeCell ref="B25:C25"/>
    <mergeCell ref="B2:I2"/>
    <mergeCell ref="B3:I3"/>
    <mergeCell ref="B22:I22"/>
    <mergeCell ref="B5:I5"/>
    <mergeCell ref="B23:I23"/>
    <mergeCell ref="B12:C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70"/>
  <sheetViews>
    <sheetView showGridLines="0" zoomScaleNormal="100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 activeCell="B18" sqref="B18"/>
    </sheetView>
  </sheetViews>
  <sheetFormatPr defaultColWidth="8.6640625" defaultRowHeight="14.4" x14ac:dyDescent="0.3"/>
  <cols>
    <col min="2" max="5" width="14" customWidth="1"/>
    <col min="6" max="8" width="16" customWidth="1"/>
    <col min="9" max="9" width="14" customWidth="1"/>
    <col min="10" max="10" width="18" customWidth="1"/>
  </cols>
  <sheetData>
    <row r="1" spans="2:10" ht="15" customHeight="1" thickBot="1" x14ac:dyDescent="0.35"/>
    <row r="2" spans="2:10" ht="17.399999999999999" customHeight="1" x14ac:dyDescent="0.3">
      <c r="B2" s="237" t="s">
        <v>209</v>
      </c>
      <c r="C2" s="238"/>
      <c r="D2" s="238"/>
      <c r="E2" s="238"/>
      <c r="F2" s="238"/>
      <c r="G2" s="238"/>
      <c r="H2" s="238"/>
      <c r="I2" s="238"/>
      <c r="J2" s="239"/>
    </row>
    <row r="3" spans="2:10" ht="15" customHeight="1" thickBot="1" x14ac:dyDescent="0.35">
      <c r="B3" s="258" t="s">
        <v>210</v>
      </c>
      <c r="C3" s="235"/>
      <c r="D3" s="235"/>
      <c r="E3" s="235"/>
      <c r="F3" s="235"/>
      <c r="G3" s="235"/>
      <c r="H3" s="235"/>
      <c r="I3" s="235"/>
      <c r="J3" s="236"/>
    </row>
    <row r="4" spans="2:10" ht="15" customHeight="1" thickBot="1" x14ac:dyDescent="0.35"/>
    <row r="5" spans="2:10" ht="15" customHeight="1" thickBot="1" x14ac:dyDescent="0.35">
      <c r="B5" s="277" t="s">
        <v>211</v>
      </c>
      <c r="C5" s="267"/>
      <c r="D5" s="267"/>
      <c r="E5" s="278"/>
    </row>
    <row r="6" spans="2:10" x14ac:dyDescent="0.3">
      <c r="B6" s="279" t="s">
        <v>212</v>
      </c>
      <c r="C6" s="280"/>
      <c r="D6" s="281"/>
      <c r="E6" s="196">
        <f>'Ano 1 - Pós-AEE'!C59</f>
        <v>10735.800000000001</v>
      </c>
    </row>
    <row r="7" spans="2:10" x14ac:dyDescent="0.3">
      <c r="B7" s="273" t="s">
        <v>213</v>
      </c>
      <c r="C7" s="253"/>
      <c r="D7" s="265"/>
      <c r="E7" s="190">
        <f>'Ano 1 - Pós-AEE'!K59</f>
        <v>13619.208695950732</v>
      </c>
    </row>
    <row r="8" spans="2:10" x14ac:dyDescent="0.3">
      <c r="B8" s="273" t="s">
        <v>214</v>
      </c>
      <c r="C8" s="253"/>
      <c r="D8" s="265"/>
      <c r="E8" s="191">
        <f>'Ano 1 - Pós-AEE'!L59</f>
        <v>2883.4086959507326</v>
      </c>
    </row>
    <row r="9" spans="2:10" x14ac:dyDescent="0.3">
      <c r="B9" s="273" t="s">
        <v>215</v>
      </c>
      <c r="C9" s="253"/>
      <c r="D9" s="265"/>
      <c r="E9" s="192">
        <f>E8/E7</f>
        <v>0.21171631629435481</v>
      </c>
    </row>
    <row r="10" spans="2:10" x14ac:dyDescent="0.3">
      <c r="B10" s="273" t="s">
        <v>216</v>
      </c>
      <c r="C10" s="253"/>
      <c r="D10" s="265"/>
      <c r="E10" s="193">
        <f>E8/COUNT('Ano 1 - Pós-AEE'!L6:L57)</f>
        <v>55.45016722982178</v>
      </c>
    </row>
    <row r="11" spans="2:10" x14ac:dyDescent="0.3">
      <c r="B11" s="273" t="s">
        <v>217</v>
      </c>
      <c r="C11" s="253"/>
      <c r="D11" s="265"/>
      <c r="E11" s="194">
        <f>COUNTIF('Ano 1 - Pós-AEE'!L6:L57,"&gt;0")</f>
        <v>52</v>
      </c>
    </row>
    <row r="12" spans="2:10" x14ac:dyDescent="0.3">
      <c r="B12" s="273" t="s">
        <v>218</v>
      </c>
      <c r="C12" s="253"/>
      <c r="D12" s="265"/>
      <c r="E12" s="190">
        <f>'Ano 0 - Linha de Base'!C59</f>
        <v>13547.999999999998</v>
      </c>
    </row>
    <row r="13" spans="2:10" ht="15" customHeight="1" thickBot="1" x14ac:dyDescent="0.35">
      <c r="B13" s="274" t="s">
        <v>219</v>
      </c>
      <c r="C13" s="275"/>
      <c r="D13" s="276"/>
      <c r="E13" s="195">
        <f>1-E6/E12</f>
        <v>0.20757307351638599</v>
      </c>
    </row>
    <row r="16" spans="2:10" ht="15" customHeight="1" thickBot="1" x14ac:dyDescent="0.35"/>
    <row r="17" spans="2:10" ht="30" customHeight="1" thickBot="1" x14ac:dyDescent="0.35">
      <c r="B17" s="37" t="s">
        <v>35</v>
      </c>
      <c r="C17" s="38" t="s">
        <v>57</v>
      </c>
      <c r="D17" s="38" t="s">
        <v>58</v>
      </c>
      <c r="E17" s="38" t="s">
        <v>79</v>
      </c>
      <c r="F17" s="38" t="s">
        <v>220</v>
      </c>
      <c r="G17" s="38" t="s">
        <v>221</v>
      </c>
      <c r="H17" s="38" t="s">
        <v>52</v>
      </c>
      <c r="I17" s="38" t="s">
        <v>53</v>
      </c>
      <c r="J17" s="39" t="s">
        <v>222</v>
      </c>
    </row>
    <row r="18" spans="2:10" x14ac:dyDescent="0.3">
      <c r="B18" s="32">
        <f>'Ano 1 - Pós-AEE'!B6</f>
        <v>1</v>
      </c>
      <c r="C18" s="33">
        <f>'Ano 1 - Pós-AEE'!D6</f>
        <v>20.7</v>
      </c>
      <c r="D18" s="33">
        <f>'Ano 1 - Pós-AEE'!E6</f>
        <v>40.5</v>
      </c>
      <c r="E18" s="33">
        <f>'Ano 1 - Pós-AEE'!I6</f>
        <v>28.9</v>
      </c>
      <c r="F18" s="33">
        <f>'Ano 1 - Pós-AEE'!C6</f>
        <v>214.8</v>
      </c>
      <c r="G18" s="33">
        <f>'Ano 1 - Pós-AEE'!K6</f>
        <v>272.38107954097512</v>
      </c>
      <c r="H18" s="33">
        <f>'Ano 1 - Pós-AEE'!L6</f>
        <v>57.581079540975111</v>
      </c>
      <c r="I18" s="34">
        <f>'Ano 1 - Pós-AEE'!M6</f>
        <v>0.21139896955402518</v>
      </c>
      <c r="J18" s="35">
        <f>SUM($H$18:H18)</f>
        <v>57.581079540975111</v>
      </c>
    </row>
    <row r="19" spans="2:10" x14ac:dyDescent="0.3">
      <c r="B19" s="25">
        <f>'Ano 1 - Pós-AEE'!B7</f>
        <v>2</v>
      </c>
      <c r="C19" s="21">
        <f>'Ano 1 - Pós-AEE'!D7</f>
        <v>24.9</v>
      </c>
      <c r="D19" s="21">
        <f>'Ano 1 - Pós-AEE'!E7</f>
        <v>39.299999999999997</v>
      </c>
      <c r="E19" s="21">
        <f>'Ano 1 - Pós-AEE'!I7</f>
        <v>30.3</v>
      </c>
      <c r="F19" s="21">
        <f>'Ano 1 - Pós-AEE'!C7</f>
        <v>219.6</v>
      </c>
      <c r="G19" s="21">
        <f>'Ano 1 - Pós-AEE'!K7</f>
        <v>284.07637701517552</v>
      </c>
      <c r="H19" s="21">
        <f>'Ano 1 - Pós-AEE'!L7</f>
        <v>64.47637701517553</v>
      </c>
      <c r="I19" s="22">
        <f>'Ano 1 - Pós-AEE'!M7</f>
        <v>0.2269684571897056</v>
      </c>
      <c r="J19" s="26">
        <f>SUM($H$18:H19)</f>
        <v>122.05745655615064</v>
      </c>
    </row>
    <row r="20" spans="2:10" x14ac:dyDescent="0.3">
      <c r="B20" s="25">
        <f>'Ano 1 - Pós-AEE'!B8</f>
        <v>3</v>
      </c>
      <c r="C20" s="21">
        <f>'Ano 1 - Pós-AEE'!D8</f>
        <v>23.3</v>
      </c>
      <c r="D20" s="21">
        <f>'Ano 1 - Pós-AEE'!E8</f>
        <v>41.4</v>
      </c>
      <c r="E20" s="21">
        <f>'Ano 1 - Pós-AEE'!I8</f>
        <v>30.9</v>
      </c>
      <c r="F20" s="21">
        <f>'Ano 1 - Pós-AEE'!C8</f>
        <v>224.1</v>
      </c>
      <c r="G20" s="21">
        <f>'Ano 1 - Pós-AEE'!K8</f>
        <v>283.90925041686654</v>
      </c>
      <c r="H20" s="21">
        <f>'Ano 1 - Pós-AEE'!L8</f>
        <v>59.809250416866547</v>
      </c>
      <c r="I20" s="22">
        <f>'Ano 1 - Pós-AEE'!M8</f>
        <v>0.21066326767813334</v>
      </c>
      <c r="J20" s="26">
        <f>SUM($H$18:H20)</f>
        <v>181.86670697301719</v>
      </c>
    </row>
    <row r="21" spans="2:10" x14ac:dyDescent="0.3">
      <c r="B21" s="25">
        <f>'Ano 1 - Pós-AEE'!B9</f>
        <v>4</v>
      </c>
      <c r="C21" s="21">
        <f>'Ano 1 - Pós-AEE'!D9</f>
        <v>25.8</v>
      </c>
      <c r="D21" s="21">
        <f>'Ano 1 - Pós-AEE'!E9</f>
        <v>34.799999999999997</v>
      </c>
      <c r="E21" s="21">
        <f>'Ano 1 - Pós-AEE'!I9</f>
        <v>30.8</v>
      </c>
      <c r="F21" s="21">
        <f>'Ano 1 - Pós-AEE'!C9</f>
        <v>223.2</v>
      </c>
      <c r="G21" s="21">
        <f>'Ano 1 - Pós-AEE'!K9</f>
        <v>280.9436046133323</v>
      </c>
      <c r="H21" s="21">
        <f>'Ano 1 - Pós-AEE'!L9</f>
        <v>57.743604613332309</v>
      </c>
      <c r="I21" s="22">
        <f>'Ano 1 - Pós-AEE'!M9</f>
        <v>0.20553450466617976</v>
      </c>
      <c r="J21" s="26">
        <f>SUM($H$18:H21)</f>
        <v>239.6103115863495</v>
      </c>
    </row>
    <row r="22" spans="2:10" x14ac:dyDescent="0.3">
      <c r="B22" s="25">
        <f>'Ano 1 - Pós-AEE'!B10</f>
        <v>5</v>
      </c>
      <c r="C22" s="21">
        <f>'Ano 1 - Pós-AEE'!D10</f>
        <v>23.8</v>
      </c>
      <c r="D22" s="21">
        <f>'Ano 1 - Pós-AEE'!E10</f>
        <v>39.799999999999997</v>
      </c>
      <c r="E22" s="21">
        <f>'Ano 1 - Pós-AEE'!I10</f>
        <v>29.2</v>
      </c>
      <c r="F22" s="21">
        <f>'Ano 1 - Pós-AEE'!C10</f>
        <v>221.7</v>
      </c>
      <c r="G22" s="21">
        <f>'Ano 1 - Pós-AEE'!K10</f>
        <v>280.00053591737031</v>
      </c>
      <c r="H22" s="21">
        <f>'Ano 1 - Pós-AEE'!L10</f>
        <v>58.300535917370325</v>
      </c>
      <c r="I22" s="22">
        <f>'Ano 1 - Pós-AEE'!M10</f>
        <v>0.20821580118180608</v>
      </c>
      <c r="J22" s="26">
        <f>SUM($H$18:H22)</f>
        <v>297.91084750371982</v>
      </c>
    </row>
    <row r="23" spans="2:10" x14ac:dyDescent="0.3">
      <c r="B23" s="25">
        <f>'Ano 1 - Pós-AEE'!B11</f>
        <v>6</v>
      </c>
      <c r="C23" s="21">
        <f>'Ano 1 - Pós-AEE'!D11</f>
        <v>22.1</v>
      </c>
      <c r="D23" s="21">
        <f>'Ano 1 - Pós-AEE'!E11</f>
        <v>40.700000000000003</v>
      </c>
      <c r="E23" s="21">
        <f>'Ano 1 - Pós-AEE'!I11</f>
        <v>29.5</v>
      </c>
      <c r="F23" s="21">
        <f>'Ano 1 - Pós-AEE'!C11</f>
        <v>221.1</v>
      </c>
      <c r="G23" s="21">
        <f>'Ano 1 - Pós-AEE'!K11</f>
        <v>277.35788673333138</v>
      </c>
      <c r="H23" s="21">
        <f>'Ano 1 - Pós-AEE'!L11</f>
        <v>56.257886733331389</v>
      </c>
      <c r="I23" s="22">
        <f>'Ano 1 - Pós-AEE'!M11</f>
        <v>0.20283499919878289</v>
      </c>
      <c r="J23" s="26">
        <f>SUM($H$18:H23)</f>
        <v>354.16873423705124</v>
      </c>
    </row>
    <row r="24" spans="2:10" x14ac:dyDescent="0.3">
      <c r="B24" s="25">
        <f>'Ano 1 - Pós-AEE'!B12</f>
        <v>7</v>
      </c>
      <c r="C24" s="21">
        <f>'Ano 1 - Pós-AEE'!D12</f>
        <v>22.4</v>
      </c>
      <c r="D24" s="21">
        <f>'Ano 1 - Pós-AEE'!E12</f>
        <v>35.799999999999997</v>
      </c>
      <c r="E24" s="21">
        <f>'Ano 1 - Pós-AEE'!I12</f>
        <v>29.8</v>
      </c>
      <c r="F24" s="21">
        <f>'Ano 1 - Pós-AEE'!C12</f>
        <v>216.7</v>
      </c>
      <c r="G24" s="21">
        <f>'Ano 1 - Pós-AEE'!K12</f>
        <v>271.74808314653507</v>
      </c>
      <c r="H24" s="21">
        <f>'Ano 1 - Pós-AEE'!L12</f>
        <v>55.048083146535078</v>
      </c>
      <c r="I24" s="22">
        <f>'Ano 1 - Pós-AEE'!M12</f>
        <v>0.20257027210326789</v>
      </c>
      <c r="J24" s="26">
        <f>SUM($H$18:H24)</f>
        <v>409.21681738358632</v>
      </c>
    </row>
    <row r="25" spans="2:10" x14ac:dyDescent="0.3">
      <c r="B25" s="25">
        <f>'Ano 1 - Pós-AEE'!B13</f>
        <v>8</v>
      </c>
      <c r="C25" s="21">
        <f>'Ano 1 - Pós-AEE'!D13</f>
        <v>25.1</v>
      </c>
      <c r="D25" s="21">
        <f>'Ano 1 - Pós-AEE'!E13</f>
        <v>41</v>
      </c>
      <c r="E25" s="21">
        <f>'Ano 1 - Pós-AEE'!I13</f>
        <v>30</v>
      </c>
      <c r="F25" s="21">
        <f>'Ano 1 - Pós-AEE'!C13</f>
        <v>226.2</v>
      </c>
      <c r="G25" s="21">
        <f>'Ano 1 - Pós-AEE'!K13</f>
        <v>286.47517664232629</v>
      </c>
      <c r="H25" s="21">
        <f>'Ano 1 - Pós-AEE'!L13</f>
        <v>60.275176642326301</v>
      </c>
      <c r="I25" s="22">
        <f>'Ano 1 - Pós-AEE'!M13</f>
        <v>0.21040279073667123</v>
      </c>
      <c r="J25" s="26">
        <f>SUM($H$18:H25)</f>
        <v>469.49199402591262</v>
      </c>
    </row>
    <row r="26" spans="2:10" x14ac:dyDescent="0.3">
      <c r="B26" s="25">
        <f>'Ano 1 - Pós-AEE'!B14</f>
        <v>9</v>
      </c>
      <c r="C26" s="21">
        <f>'Ano 1 - Pós-AEE'!D14</f>
        <v>25.3</v>
      </c>
      <c r="D26" s="21">
        <f>'Ano 1 - Pós-AEE'!E14</f>
        <v>39</v>
      </c>
      <c r="E26" s="21">
        <f>'Ano 1 - Pós-AEE'!I14</f>
        <v>28.2</v>
      </c>
      <c r="F26" s="21">
        <f>'Ano 1 - Pós-AEE'!C14</f>
        <v>220.7</v>
      </c>
      <c r="G26" s="21">
        <f>'Ano 1 - Pós-AEE'!K14</f>
        <v>281.04575050932988</v>
      </c>
      <c r="H26" s="21">
        <f>'Ano 1 - Pós-AEE'!L14</f>
        <v>60.345750509329889</v>
      </c>
      <c r="I26" s="22">
        <f>'Ano 1 - Pós-AEE'!M14</f>
        <v>0.21471860150871269</v>
      </c>
      <c r="J26" s="26">
        <f>SUM($H$18:H26)</f>
        <v>529.83774453524256</v>
      </c>
    </row>
    <row r="27" spans="2:10" x14ac:dyDescent="0.3">
      <c r="B27" s="25">
        <f>'Ano 1 - Pós-AEE'!B15</f>
        <v>10</v>
      </c>
      <c r="C27" s="21">
        <f>'Ano 1 - Pós-AEE'!D15</f>
        <v>22.9</v>
      </c>
      <c r="D27" s="21">
        <f>'Ano 1 - Pós-AEE'!E15</f>
        <v>37.1</v>
      </c>
      <c r="E27" s="21">
        <f>'Ano 1 - Pós-AEE'!I15</f>
        <v>27.9</v>
      </c>
      <c r="F27" s="21">
        <f>'Ano 1 - Pós-AEE'!C15</f>
        <v>209.3</v>
      </c>
      <c r="G27" s="21">
        <f>'Ano 1 - Pós-AEE'!K15</f>
        <v>271.58353137505247</v>
      </c>
      <c r="H27" s="21">
        <f>'Ano 1 - Pós-AEE'!L15</f>
        <v>62.283531375052462</v>
      </c>
      <c r="I27" s="22">
        <f>'Ano 1 - Pós-AEE'!M15</f>
        <v>0.22933471355831186</v>
      </c>
      <c r="J27" s="26">
        <f>SUM($H$18:H27)</f>
        <v>592.12127591029503</v>
      </c>
    </row>
    <row r="28" spans="2:10" x14ac:dyDescent="0.3">
      <c r="B28" s="25">
        <f>'Ano 1 - Pós-AEE'!B16</f>
        <v>11</v>
      </c>
      <c r="C28" s="21">
        <f>'Ano 1 - Pós-AEE'!D16</f>
        <v>25.1</v>
      </c>
      <c r="D28" s="21">
        <f>'Ano 1 - Pós-AEE'!E16</f>
        <v>39</v>
      </c>
      <c r="E28" s="21">
        <f>'Ano 1 - Pós-AEE'!I16</f>
        <v>26.5</v>
      </c>
      <c r="F28" s="21">
        <f>'Ano 1 - Pós-AEE'!C16</f>
        <v>219.3</v>
      </c>
      <c r="G28" s="21">
        <f>'Ano 1 - Pós-AEE'!K16</f>
        <v>277.5688185625981</v>
      </c>
      <c r="H28" s="21">
        <f>'Ano 1 - Pós-AEE'!L16</f>
        <v>58.268818562598085</v>
      </c>
      <c r="I28" s="22">
        <f>'Ano 1 - Pós-AEE'!M16</f>
        <v>0.20992566407259156</v>
      </c>
      <c r="J28" s="26">
        <f>SUM($H$18:H28)</f>
        <v>650.39009447289311</v>
      </c>
    </row>
    <row r="29" spans="2:10" x14ac:dyDescent="0.3">
      <c r="B29" s="25">
        <f>'Ano 1 - Pós-AEE'!B17</f>
        <v>12</v>
      </c>
      <c r="C29" s="21">
        <f>'Ano 1 - Pós-AEE'!D17</f>
        <v>20.7</v>
      </c>
      <c r="D29" s="21">
        <f>'Ano 1 - Pós-AEE'!E17</f>
        <v>42.1</v>
      </c>
      <c r="E29" s="21">
        <f>'Ano 1 - Pós-AEE'!I17</f>
        <v>25.7</v>
      </c>
      <c r="F29" s="21">
        <f>'Ano 1 - Pós-AEE'!C17</f>
        <v>211.9</v>
      </c>
      <c r="G29" s="21">
        <f>'Ano 1 - Pós-AEE'!K17</f>
        <v>269.0757699999134</v>
      </c>
      <c r="H29" s="21">
        <f>'Ano 1 - Pós-AEE'!L17</f>
        <v>57.175769999913399</v>
      </c>
      <c r="I29" s="22">
        <f>'Ano 1 - Pós-AEE'!M17</f>
        <v>0.21248947833516113</v>
      </c>
      <c r="J29" s="26">
        <f>SUM($H$18:H29)</f>
        <v>707.56586447280654</v>
      </c>
    </row>
    <row r="30" spans="2:10" x14ac:dyDescent="0.3">
      <c r="B30" s="25">
        <f>'Ano 1 - Pós-AEE'!B18</f>
        <v>13</v>
      </c>
      <c r="C30" s="21">
        <f>'Ano 1 - Pós-AEE'!D18</f>
        <v>22.9</v>
      </c>
      <c r="D30" s="21">
        <f>'Ano 1 - Pós-AEE'!E18</f>
        <v>37.4</v>
      </c>
      <c r="E30" s="21">
        <f>'Ano 1 - Pós-AEE'!I18</f>
        <v>26.7</v>
      </c>
      <c r="F30" s="21">
        <f>'Ano 1 - Pós-AEE'!C18</f>
        <v>213.3</v>
      </c>
      <c r="G30" s="21">
        <f>'Ano 1 - Pós-AEE'!K18</f>
        <v>269.92074623561894</v>
      </c>
      <c r="H30" s="21">
        <f>'Ano 1 - Pós-AEE'!L18</f>
        <v>56.620746235618924</v>
      </c>
      <c r="I30" s="22">
        <f>'Ano 1 - Pós-AEE'!M18</f>
        <v>0.20976804126865298</v>
      </c>
      <c r="J30" s="26">
        <f>SUM($H$18:H30)</f>
        <v>764.18661070842541</v>
      </c>
    </row>
    <row r="31" spans="2:10" x14ac:dyDescent="0.3">
      <c r="B31" s="25">
        <f>'Ano 1 - Pós-AEE'!B19</f>
        <v>14</v>
      </c>
      <c r="C31" s="21">
        <f>'Ano 1 - Pós-AEE'!D19</f>
        <v>20.399999999999999</v>
      </c>
      <c r="D31" s="21">
        <f>'Ano 1 - Pós-AEE'!E19</f>
        <v>37.200000000000003</v>
      </c>
      <c r="E31" s="21">
        <f>'Ano 1 - Pós-AEE'!I19</f>
        <v>26.4</v>
      </c>
      <c r="F31" s="21">
        <f>'Ano 1 - Pós-AEE'!C19</f>
        <v>203.5</v>
      </c>
      <c r="G31" s="21">
        <f>'Ano 1 - Pós-AEE'!K19</f>
        <v>262.59636691069551</v>
      </c>
      <c r="H31" s="21">
        <f>'Ano 1 - Pós-AEE'!L19</f>
        <v>59.096366910695508</v>
      </c>
      <c r="I31" s="22">
        <f>'Ano 1 - Pós-AEE'!M19</f>
        <v>0.22504639955964495</v>
      </c>
      <c r="J31" s="26">
        <f>SUM($H$18:H31)</f>
        <v>823.28297761912086</v>
      </c>
    </row>
    <row r="32" spans="2:10" x14ac:dyDescent="0.3">
      <c r="B32" s="25">
        <f>'Ano 1 - Pós-AEE'!B20</f>
        <v>15</v>
      </c>
      <c r="C32" s="21">
        <f>'Ano 1 - Pós-AEE'!D20</f>
        <v>20.9</v>
      </c>
      <c r="D32" s="21">
        <f>'Ano 1 - Pós-AEE'!E20</f>
        <v>35.4</v>
      </c>
      <c r="E32" s="21">
        <f>'Ano 1 - Pós-AEE'!I20</f>
        <v>24.2</v>
      </c>
      <c r="F32" s="21">
        <f>'Ano 1 - Pós-AEE'!C20</f>
        <v>200.2</v>
      </c>
      <c r="G32" s="21">
        <f>'Ano 1 - Pós-AEE'!K20</f>
        <v>257.53625670310532</v>
      </c>
      <c r="H32" s="21">
        <f>'Ano 1 - Pós-AEE'!L20</f>
        <v>57.336256703105335</v>
      </c>
      <c r="I32" s="22">
        <f>'Ano 1 - Pós-AEE'!M20</f>
        <v>0.22263372713848251</v>
      </c>
      <c r="J32" s="26">
        <f>SUM($H$18:H32)</f>
        <v>880.61923432222625</v>
      </c>
    </row>
    <row r="33" spans="2:10" x14ac:dyDescent="0.3">
      <c r="B33" s="25">
        <f>'Ano 1 - Pós-AEE'!B21</f>
        <v>16</v>
      </c>
      <c r="C33" s="21">
        <f>'Ano 1 - Pós-AEE'!D21</f>
        <v>21.6</v>
      </c>
      <c r="D33" s="21">
        <f>'Ano 1 - Pós-AEE'!E21</f>
        <v>34.200000000000003</v>
      </c>
      <c r="E33" s="21">
        <f>'Ano 1 - Pós-AEE'!I21</f>
        <v>24.3</v>
      </c>
      <c r="F33" s="21">
        <f>'Ano 1 - Pós-AEE'!C21</f>
        <v>206.6</v>
      </c>
      <c r="G33" s="21">
        <f>'Ano 1 - Pós-AEE'!K21</f>
        <v>257.84270616580216</v>
      </c>
      <c r="H33" s="21">
        <f>'Ano 1 - Pós-AEE'!L21</f>
        <v>51.242706165802161</v>
      </c>
      <c r="I33" s="22">
        <f>'Ano 1 - Pós-AEE'!M21</f>
        <v>0.19873630294917574</v>
      </c>
      <c r="J33" s="26">
        <f>SUM($H$18:H33)</f>
        <v>931.86194048802838</v>
      </c>
    </row>
    <row r="34" spans="2:10" x14ac:dyDescent="0.3">
      <c r="B34" s="25">
        <f>'Ano 1 - Pós-AEE'!B22</f>
        <v>17</v>
      </c>
      <c r="C34" s="21">
        <f>'Ano 1 - Pós-AEE'!D22</f>
        <v>19.7</v>
      </c>
      <c r="D34" s="21">
        <f>'Ano 1 - Pós-AEE'!E22</f>
        <v>37.4</v>
      </c>
      <c r="E34" s="21">
        <f>'Ano 1 - Pós-AEE'!I22</f>
        <v>22.8</v>
      </c>
      <c r="F34" s="21">
        <f>'Ano 1 - Pós-AEE'!C22</f>
        <v>200.8</v>
      </c>
      <c r="G34" s="21">
        <f>'Ano 1 - Pós-AEE'!K22</f>
        <v>254.79453957338839</v>
      </c>
      <c r="H34" s="21">
        <f>'Ano 1 - Pós-AEE'!L22</f>
        <v>53.99453957338838</v>
      </c>
      <c r="I34" s="22">
        <f>'Ano 1 - Pós-AEE'!M22</f>
        <v>0.21191403734080552</v>
      </c>
      <c r="J34" s="26">
        <f>SUM($H$18:H34)</f>
        <v>985.85648006141673</v>
      </c>
    </row>
    <row r="35" spans="2:10" x14ac:dyDescent="0.3">
      <c r="B35" s="25">
        <f>'Ano 1 - Pós-AEE'!B23</f>
        <v>18</v>
      </c>
      <c r="C35" s="21">
        <f>'Ano 1 - Pós-AEE'!D23</f>
        <v>20.3</v>
      </c>
      <c r="D35" s="21">
        <f>'Ano 1 - Pós-AEE'!E23</f>
        <v>33.6</v>
      </c>
      <c r="E35" s="21">
        <f>'Ano 1 - Pós-AEE'!I23</f>
        <v>21</v>
      </c>
      <c r="F35" s="21">
        <f>'Ano 1 - Pós-AEE'!C23</f>
        <v>197.8</v>
      </c>
      <c r="G35" s="21">
        <f>'Ano 1 - Pós-AEE'!K23</f>
        <v>247.86865522856513</v>
      </c>
      <c r="H35" s="21">
        <f>'Ano 1 - Pós-AEE'!L23</f>
        <v>50.06865522856512</v>
      </c>
      <c r="I35" s="22">
        <f>'Ano 1 - Pós-AEE'!M23</f>
        <v>0.20199671952226356</v>
      </c>
      <c r="J35" s="26">
        <f>SUM($H$18:H35)</f>
        <v>1035.9251352899819</v>
      </c>
    </row>
    <row r="36" spans="2:10" x14ac:dyDescent="0.3">
      <c r="B36" s="25">
        <f>'Ano 1 - Pós-AEE'!B24</f>
        <v>19</v>
      </c>
      <c r="C36" s="21">
        <f>'Ano 1 - Pós-AEE'!D24</f>
        <v>22.5</v>
      </c>
      <c r="D36" s="21">
        <f>'Ano 1 - Pós-AEE'!E24</f>
        <v>35.299999999999997</v>
      </c>
      <c r="E36" s="21">
        <f>'Ano 1 - Pós-AEE'!I24</f>
        <v>21</v>
      </c>
      <c r="F36" s="21">
        <f>'Ano 1 - Pós-AEE'!C24</f>
        <v>201.9</v>
      </c>
      <c r="G36" s="21">
        <f>'Ano 1 - Pós-AEE'!K24</f>
        <v>256.00550544288416</v>
      </c>
      <c r="H36" s="21">
        <f>'Ano 1 - Pós-AEE'!L24</f>
        <v>54.105505442884152</v>
      </c>
      <c r="I36" s="22">
        <f>'Ano 1 - Pós-AEE'!M24</f>
        <v>0.21134508552573025</v>
      </c>
      <c r="J36" s="26">
        <f>SUM($H$18:H36)</f>
        <v>1090.030640732866</v>
      </c>
    </row>
    <row r="37" spans="2:10" x14ac:dyDescent="0.3">
      <c r="B37" s="25">
        <f>'Ano 1 - Pós-AEE'!B25</f>
        <v>20</v>
      </c>
      <c r="C37" s="21">
        <f>'Ano 1 - Pós-AEE'!D25</f>
        <v>19.8</v>
      </c>
      <c r="D37" s="21">
        <f>'Ano 1 - Pós-AEE'!E25</f>
        <v>33.9</v>
      </c>
      <c r="E37" s="21">
        <f>'Ano 1 - Pós-AEE'!I25</f>
        <v>21.2</v>
      </c>
      <c r="F37" s="21">
        <f>'Ano 1 - Pós-AEE'!C25</f>
        <v>195.6</v>
      </c>
      <c r="G37" s="21">
        <f>'Ano 1 - Pós-AEE'!K25</f>
        <v>247.33549646019708</v>
      </c>
      <c r="H37" s="21">
        <f>'Ano 1 - Pós-AEE'!L25</f>
        <v>51.735496460197083</v>
      </c>
      <c r="I37" s="22">
        <f>'Ano 1 - Pós-AEE'!M25</f>
        <v>0.20917133691129011</v>
      </c>
      <c r="J37" s="26">
        <f>SUM($H$18:H37)</f>
        <v>1141.7661371930631</v>
      </c>
    </row>
    <row r="38" spans="2:10" x14ac:dyDescent="0.3">
      <c r="B38" s="25">
        <f>'Ano 1 - Pós-AEE'!B26</f>
        <v>21</v>
      </c>
      <c r="C38" s="21">
        <f>'Ano 1 - Pós-AEE'!D26</f>
        <v>22.4</v>
      </c>
      <c r="D38" s="21">
        <f>'Ano 1 - Pós-AEE'!E26</f>
        <v>35.700000000000003</v>
      </c>
      <c r="E38" s="21">
        <f>'Ano 1 - Pós-AEE'!I26</f>
        <v>19</v>
      </c>
      <c r="F38" s="21">
        <f>'Ano 1 - Pós-AEE'!C26</f>
        <v>201.8</v>
      </c>
      <c r="G38" s="21">
        <f>'Ano 1 - Pós-AEE'!K26</f>
        <v>252.83227231730359</v>
      </c>
      <c r="H38" s="21">
        <f>'Ano 1 - Pós-AEE'!L26</f>
        <v>51.03227231730358</v>
      </c>
      <c r="I38" s="22">
        <f>'Ano 1 - Pós-AEE'!M26</f>
        <v>0.20184239871585011</v>
      </c>
      <c r="J38" s="26">
        <f>SUM($H$18:H38)</f>
        <v>1192.7984095103666</v>
      </c>
    </row>
    <row r="39" spans="2:10" x14ac:dyDescent="0.3">
      <c r="B39" s="25">
        <f>'Ano 1 - Pós-AEE'!B27</f>
        <v>22</v>
      </c>
      <c r="C39" s="21">
        <f>'Ano 1 - Pós-AEE'!D27</f>
        <v>19.3</v>
      </c>
      <c r="D39" s="21">
        <f>'Ano 1 - Pós-AEE'!E27</f>
        <v>35.200000000000003</v>
      </c>
      <c r="E39" s="21">
        <f>'Ano 1 - Pós-AEE'!I27</f>
        <v>19.600000000000001</v>
      </c>
      <c r="F39" s="21">
        <f>'Ano 1 - Pós-AEE'!C27</f>
        <v>192.1</v>
      </c>
      <c r="G39" s="21">
        <f>'Ano 1 - Pós-AEE'!K27</f>
        <v>245.08419909549363</v>
      </c>
      <c r="H39" s="21">
        <f>'Ano 1 - Pós-AEE'!L27</f>
        <v>52.984199095493636</v>
      </c>
      <c r="I39" s="22">
        <f>'Ano 1 - Pós-AEE'!M27</f>
        <v>0.21618773993197776</v>
      </c>
      <c r="J39" s="26">
        <f>SUM($H$18:H39)</f>
        <v>1245.7826086058603</v>
      </c>
    </row>
    <row r="40" spans="2:10" x14ac:dyDescent="0.3">
      <c r="B40" s="25">
        <f>'Ano 1 - Pós-AEE'!B28</f>
        <v>23</v>
      </c>
      <c r="C40" s="21">
        <f>'Ano 1 - Pós-AEE'!D28</f>
        <v>22.4</v>
      </c>
      <c r="D40" s="21">
        <f>'Ano 1 - Pós-AEE'!E28</f>
        <v>36.6</v>
      </c>
      <c r="E40" s="21">
        <f>'Ano 1 - Pós-AEE'!I28</f>
        <v>15.2</v>
      </c>
      <c r="F40" s="21">
        <f>'Ano 1 - Pós-AEE'!C28</f>
        <v>195</v>
      </c>
      <c r="G40" s="21">
        <f>'Ano 1 - Pós-AEE'!K28</f>
        <v>247.49623703217495</v>
      </c>
      <c r="H40" s="21">
        <f>'Ano 1 - Pós-AEE'!L28</f>
        <v>52.496237032174946</v>
      </c>
      <c r="I40" s="22">
        <f>'Ano 1 - Pós-AEE'!M28</f>
        <v>0.21210923310058383</v>
      </c>
      <c r="J40" s="26">
        <f>SUM($H$18:H40)</f>
        <v>1298.2788456380354</v>
      </c>
    </row>
    <row r="41" spans="2:10" x14ac:dyDescent="0.3">
      <c r="B41" s="25">
        <f>'Ano 1 - Pós-AEE'!B29</f>
        <v>24</v>
      </c>
      <c r="C41" s="21">
        <f>'Ano 1 - Pós-AEE'!D29</f>
        <v>24.4</v>
      </c>
      <c r="D41" s="21">
        <f>'Ano 1 - Pós-AEE'!E29</f>
        <v>33.200000000000003</v>
      </c>
      <c r="E41" s="21">
        <f>'Ano 1 - Pós-AEE'!I29</f>
        <v>17.600000000000001</v>
      </c>
      <c r="F41" s="21">
        <f>'Ano 1 - Pós-AEE'!C29</f>
        <v>197.5</v>
      </c>
      <c r="G41" s="21">
        <f>'Ano 1 - Pós-AEE'!K29</f>
        <v>252.08759352363813</v>
      </c>
      <c r="H41" s="21">
        <f>'Ano 1 - Pós-AEE'!L29</f>
        <v>54.587593523638134</v>
      </c>
      <c r="I41" s="22">
        <f>'Ano 1 - Pós-AEE'!M29</f>
        <v>0.21654216600119783</v>
      </c>
      <c r="J41" s="26">
        <f>SUM($H$18:H41)</f>
        <v>1352.8664391616735</v>
      </c>
    </row>
    <row r="42" spans="2:10" x14ac:dyDescent="0.3">
      <c r="B42" s="25">
        <f>'Ano 1 - Pós-AEE'!B30</f>
        <v>25</v>
      </c>
      <c r="C42" s="21">
        <f>'Ano 1 - Pós-AEE'!D30</f>
        <v>18.3</v>
      </c>
      <c r="D42" s="21">
        <f>'Ano 1 - Pós-AEE'!E30</f>
        <v>33.700000000000003</v>
      </c>
      <c r="E42" s="21">
        <f>'Ano 1 - Pós-AEE'!I30</f>
        <v>16.399999999999999</v>
      </c>
      <c r="F42" s="21">
        <f>'Ano 1 - Pós-AEE'!C30</f>
        <v>184.4</v>
      </c>
      <c r="G42" s="21">
        <f>'Ano 1 - Pós-AEE'!K30</f>
        <v>234.79658552510352</v>
      </c>
      <c r="H42" s="21">
        <f>'Ano 1 - Pós-AEE'!L30</f>
        <v>50.396585525103518</v>
      </c>
      <c r="I42" s="22">
        <f>'Ano 1 - Pós-AEE'!M30</f>
        <v>0.21463934585077393</v>
      </c>
      <c r="J42" s="26">
        <f>SUM($H$18:H42)</f>
        <v>1403.263024686777</v>
      </c>
    </row>
    <row r="43" spans="2:10" x14ac:dyDescent="0.3">
      <c r="B43" s="25">
        <f>'Ano 1 - Pós-AEE'!B31</f>
        <v>26</v>
      </c>
      <c r="C43" s="21">
        <f>'Ano 1 - Pós-AEE'!D31</f>
        <v>21.6</v>
      </c>
      <c r="D43" s="21">
        <f>'Ano 1 - Pós-AEE'!E31</f>
        <v>32.1</v>
      </c>
      <c r="E43" s="21">
        <f>'Ano 1 - Pós-AEE'!I31</f>
        <v>15.6</v>
      </c>
      <c r="F43" s="21">
        <f>'Ano 1 - Pós-AEE'!C31</f>
        <v>188.6</v>
      </c>
      <c r="G43" s="21">
        <f>'Ano 1 - Pós-AEE'!K31</f>
        <v>239.75557352803048</v>
      </c>
      <c r="H43" s="21">
        <f>'Ano 1 - Pós-AEE'!L31</f>
        <v>51.155573528030487</v>
      </c>
      <c r="I43" s="22">
        <f>'Ano 1 - Pós-AEE'!M31</f>
        <v>0.21336552379271279</v>
      </c>
      <c r="J43" s="26">
        <f>SUM($H$18:H43)</f>
        <v>1454.4185982148076</v>
      </c>
    </row>
    <row r="44" spans="2:10" x14ac:dyDescent="0.3">
      <c r="B44" s="25">
        <f>'Ano 1 - Pós-AEE'!B32</f>
        <v>27</v>
      </c>
      <c r="C44" s="21">
        <f>'Ano 1 - Pós-AEE'!D32</f>
        <v>24.5</v>
      </c>
      <c r="D44" s="21">
        <f>'Ano 1 - Pós-AEE'!E32</f>
        <v>33.299999999999997</v>
      </c>
      <c r="E44" s="21">
        <f>'Ano 1 - Pós-AEE'!I32</f>
        <v>15.6</v>
      </c>
      <c r="F44" s="21">
        <f>'Ano 1 - Pós-AEE'!C32</f>
        <v>196.9</v>
      </c>
      <c r="G44" s="21">
        <f>'Ano 1 - Pós-AEE'!K32</f>
        <v>249.01271941521475</v>
      </c>
      <c r="H44" s="21">
        <f>'Ano 1 - Pós-AEE'!L32</f>
        <v>52.112719415214741</v>
      </c>
      <c r="I44" s="22">
        <f>'Ano 1 - Pós-AEE'!M32</f>
        <v>0.20927733947726462</v>
      </c>
      <c r="J44" s="26">
        <f>SUM($H$18:H44)</f>
        <v>1506.5313176300224</v>
      </c>
    </row>
    <row r="45" spans="2:10" x14ac:dyDescent="0.3">
      <c r="B45" s="25">
        <f>'Ano 1 - Pós-AEE'!B33</f>
        <v>28</v>
      </c>
      <c r="C45" s="21">
        <f>'Ano 1 - Pós-AEE'!D33</f>
        <v>23.7</v>
      </c>
      <c r="D45" s="21">
        <f>'Ano 1 - Pós-AEE'!E33</f>
        <v>35.1</v>
      </c>
      <c r="E45" s="21">
        <f>'Ano 1 - Pós-AEE'!I33</f>
        <v>13.4</v>
      </c>
      <c r="F45" s="21">
        <f>'Ano 1 - Pós-AEE'!C33</f>
        <v>192</v>
      </c>
      <c r="G45" s="21">
        <f>'Ano 1 - Pós-AEE'!K33</f>
        <v>245.64139293454684</v>
      </c>
      <c r="H45" s="21">
        <f>'Ano 1 - Pós-AEE'!L33</f>
        <v>53.641392934546843</v>
      </c>
      <c r="I45" s="22">
        <f>'Ano 1 - Pós-AEE'!M33</f>
        <v>0.21837277623987433</v>
      </c>
      <c r="J45" s="26">
        <f>SUM($H$18:H45)</f>
        <v>1560.1727105645691</v>
      </c>
    </row>
    <row r="46" spans="2:10" x14ac:dyDescent="0.3">
      <c r="B46" s="25">
        <f>'Ano 1 - Pós-AEE'!B34</f>
        <v>29</v>
      </c>
      <c r="C46" s="21">
        <f>'Ano 1 - Pós-AEE'!D34</f>
        <v>25.1</v>
      </c>
      <c r="D46" s="21">
        <f>'Ano 1 - Pós-AEE'!E34</f>
        <v>36</v>
      </c>
      <c r="E46" s="21">
        <f>'Ano 1 - Pós-AEE'!I34</f>
        <v>14.9</v>
      </c>
      <c r="F46" s="21">
        <f>'Ano 1 - Pós-AEE'!C34</f>
        <v>202.5</v>
      </c>
      <c r="G46" s="21">
        <f>'Ano 1 - Pós-AEE'!K34</f>
        <v>253.17044567121229</v>
      </c>
      <c r="H46" s="21">
        <f>'Ano 1 - Pós-AEE'!L34</f>
        <v>50.670445671212292</v>
      </c>
      <c r="I46" s="22">
        <f>'Ano 1 - Pós-AEE'!M34</f>
        <v>0.20014360498072137</v>
      </c>
      <c r="J46" s="26">
        <f>SUM($H$18:H46)</f>
        <v>1610.8431562357814</v>
      </c>
    </row>
    <row r="47" spans="2:10" x14ac:dyDescent="0.3">
      <c r="B47" s="25">
        <f>'Ano 1 - Pós-AEE'!B35</f>
        <v>30</v>
      </c>
      <c r="C47" s="21">
        <f>'Ano 1 - Pós-AEE'!D35</f>
        <v>23.8</v>
      </c>
      <c r="D47" s="21">
        <f>'Ano 1 - Pós-AEE'!E35</f>
        <v>32.6</v>
      </c>
      <c r="E47" s="21">
        <f>'Ano 1 - Pós-AEE'!I35</f>
        <v>15.3</v>
      </c>
      <c r="F47" s="21">
        <f>'Ano 1 - Pós-AEE'!C35</f>
        <v>191.3</v>
      </c>
      <c r="G47" s="21">
        <f>'Ano 1 - Pós-AEE'!K35</f>
        <v>245.67772769596593</v>
      </c>
      <c r="H47" s="21">
        <f>'Ano 1 - Pós-AEE'!L35</f>
        <v>54.377727695965916</v>
      </c>
      <c r="I47" s="22">
        <f>'Ano 1 - Pós-AEE'!M35</f>
        <v>0.22133763693573436</v>
      </c>
      <c r="J47" s="26">
        <f>SUM($H$18:H47)</f>
        <v>1665.2208839317473</v>
      </c>
    </row>
    <row r="48" spans="2:10" x14ac:dyDescent="0.3">
      <c r="B48" s="25">
        <f>'Ano 1 - Pós-AEE'!B36</f>
        <v>31</v>
      </c>
      <c r="C48" s="21">
        <f>'Ano 1 - Pós-AEE'!D36</f>
        <v>25.2</v>
      </c>
      <c r="D48" s="21">
        <f>'Ano 1 - Pós-AEE'!E36</f>
        <v>36.5</v>
      </c>
      <c r="E48" s="21">
        <f>'Ano 1 - Pós-AEE'!I36</f>
        <v>16.399999999999999</v>
      </c>
      <c r="F48" s="21">
        <f>'Ano 1 - Pós-AEE'!C36</f>
        <v>201.3</v>
      </c>
      <c r="G48" s="21">
        <f>'Ano 1 - Pós-AEE'!K36</f>
        <v>256.74436131432856</v>
      </c>
      <c r="H48" s="21">
        <f>'Ano 1 - Pós-AEE'!L36</f>
        <v>55.444361314328546</v>
      </c>
      <c r="I48" s="22">
        <f>'Ano 1 - Pós-AEE'!M36</f>
        <v>0.21595162219141703</v>
      </c>
      <c r="J48" s="26">
        <f>SUM($H$18:H48)</f>
        <v>1720.6652452460758</v>
      </c>
    </row>
    <row r="49" spans="2:10" x14ac:dyDescent="0.3">
      <c r="B49" s="25">
        <f>'Ano 1 - Pós-AEE'!B37</f>
        <v>32</v>
      </c>
      <c r="C49" s="21">
        <f>'Ano 1 - Pós-AEE'!D37</f>
        <v>24.9</v>
      </c>
      <c r="D49" s="21">
        <f>'Ano 1 - Pós-AEE'!E37</f>
        <v>37.799999999999997</v>
      </c>
      <c r="E49" s="21">
        <f>'Ano 1 - Pós-AEE'!I37</f>
        <v>14.8</v>
      </c>
      <c r="F49" s="21">
        <f>'Ano 1 - Pós-AEE'!C37</f>
        <v>199</v>
      </c>
      <c r="G49" s="21">
        <f>'Ano 1 - Pós-AEE'!K37</f>
        <v>255.01471702831773</v>
      </c>
      <c r="H49" s="21">
        <f>'Ano 1 - Pós-AEE'!L37</f>
        <v>56.014717028317733</v>
      </c>
      <c r="I49" s="22">
        <f>'Ano 1 - Pós-AEE'!M37</f>
        <v>0.21965287996338526</v>
      </c>
      <c r="J49" s="26">
        <f>SUM($H$18:H49)</f>
        <v>1776.6799622743936</v>
      </c>
    </row>
    <row r="50" spans="2:10" x14ac:dyDescent="0.3">
      <c r="B50" s="25">
        <f>'Ano 1 - Pós-AEE'!B38</f>
        <v>33</v>
      </c>
      <c r="C50" s="21">
        <f>'Ano 1 - Pós-AEE'!D38</f>
        <v>27.2</v>
      </c>
      <c r="D50" s="21">
        <f>'Ano 1 - Pós-AEE'!E38</f>
        <v>36</v>
      </c>
      <c r="E50" s="21">
        <f>'Ano 1 - Pós-AEE'!I38</f>
        <v>14.8</v>
      </c>
      <c r="F50" s="21">
        <f>'Ano 1 - Pós-AEE'!C38</f>
        <v>207</v>
      </c>
      <c r="G50" s="21">
        <f>'Ano 1 - Pós-AEE'!K38</f>
        <v>258.47396306407063</v>
      </c>
      <c r="H50" s="21">
        <f>'Ano 1 - Pós-AEE'!L38</f>
        <v>51.473963064070631</v>
      </c>
      <c r="I50" s="22">
        <f>'Ano 1 - Pós-AEE'!M38</f>
        <v>0.19914564103043231</v>
      </c>
      <c r="J50" s="26">
        <f>SUM($H$18:H50)</f>
        <v>1828.1539253384642</v>
      </c>
    </row>
    <row r="51" spans="2:10" x14ac:dyDescent="0.3">
      <c r="B51" s="25">
        <f>'Ano 1 - Pós-AEE'!B39</f>
        <v>34</v>
      </c>
      <c r="C51" s="21">
        <f>'Ano 1 - Pós-AEE'!D39</f>
        <v>25.5</v>
      </c>
      <c r="D51" s="21">
        <f>'Ano 1 - Pós-AEE'!E39</f>
        <v>39.4</v>
      </c>
      <c r="E51" s="21">
        <f>'Ano 1 - Pós-AEE'!I39</f>
        <v>15.4</v>
      </c>
      <c r="F51" s="21">
        <f>'Ano 1 - Pós-AEE'!C39</f>
        <v>204.3</v>
      </c>
      <c r="G51" s="21">
        <f>'Ano 1 - Pós-AEE'!K39</f>
        <v>259.88028419306852</v>
      </c>
      <c r="H51" s="21">
        <f>'Ano 1 - Pós-AEE'!L39</f>
        <v>55.580284193068508</v>
      </c>
      <c r="I51" s="22">
        <f>'Ano 1 - Pós-AEE'!M39</f>
        <v>0.21386879872648276</v>
      </c>
      <c r="J51" s="26">
        <f>SUM($H$18:H51)</f>
        <v>1883.7342095315328</v>
      </c>
    </row>
    <row r="52" spans="2:10" x14ac:dyDescent="0.3">
      <c r="B52" s="25">
        <f>'Ano 1 - Pós-AEE'!B40</f>
        <v>35</v>
      </c>
      <c r="C52" s="21">
        <f>'Ano 1 - Pós-AEE'!D40</f>
        <v>25.4</v>
      </c>
      <c r="D52" s="21">
        <f>'Ano 1 - Pós-AEE'!E40</f>
        <v>34.1</v>
      </c>
      <c r="E52" s="21">
        <f>'Ano 1 - Pós-AEE'!I40</f>
        <v>17.2</v>
      </c>
      <c r="F52" s="21">
        <f>'Ano 1 - Pós-AEE'!C40</f>
        <v>203.9</v>
      </c>
      <c r="G52" s="21">
        <f>'Ano 1 - Pós-AEE'!K40</f>
        <v>255.27038136805095</v>
      </c>
      <c r="H52" s="21">
        <f>'Ano 1 - Pós-AEE'!L40</f>
        <v>51.370381368050943</v>
      </c>
      <c r="I52" s="22">
        <f>'Ano 1 - Pós-AEE'!M40</f>
        <v>0.2012390982954842</v>
      </c>
      <c r="J52" s="26">
        <f>SUM($H$18:H52)</f>
        <v>1935.1045908995836</v>
      </c>
    </row>
    <row r="53" spans="2:10" x14ac:dyDescent="0.3">
      <c r="B53" s="25">
        <f>'Ano 1 - Pós-AEE'!B41</f>
        <v>36</v>
      </c>
      <c r="C53" s="21">
        <f>'Ano 1 - Pós-AEE'!D41</f>
        <v>23.8</v>
      </c>
      <c r="D53" s="21">
        <f>'Ano 1 - Pós-AEE'!E41</f>
        <v>33.4</v>
      </c>
      <c r="E53" s="21">
        <f>'Ano 1 - Pós-AEE'!I41</f>
        <v>17.2</v>
      </c>
      <c r="F53" s="21">
        <f>'Ano 1 - Pós-AEE'!C41</f>
        <v>193.1</v>
      </c>
      <c r="G53" s="21">
        <f>'Ano 1 - Pós-AEE'!K41</f>
        <v>250.10947059492756</v>
      </c>
      <c r="H53" s="21">
        <f>'Ano 1 - Pós-AEE'!L41</f>
        <v>57.009470594927564</v>
      </c>
      <c r="I53" s="22">
        <f>'Ano 1 - Pós-AEE'!M41</f>
        <v>0.22793807231417876</v>
      </c>
      <c r="J53" s="26">
        <f>SUM($H$18:H53)</f>
        <v>1992.1140614945111</v>
      </c>
    </row>
    <row r="54" spans="2:10" x14ac:dyDescent="0.3">
      <c r="B54" s="25">
        <f>'Ano 1 - Pós-AEE'!B42</f>
        <v>37</v>
      </c>
      <c r="C54" s="21">
        <f>'Ano 1 - Pós-AEE'!D42</f>
        <v>23.2</v>
      </c>
      <c r="D54" s="21">
        <f>'Ano 1 - Pós-AEE'!E42</f>
        <v>32.6</v>
      </c>
      <c r="E54" s="21">
        <f>'Ano 1 - Pós-AEE'!I42</f>
        <v>17</v>
      </c>
      <c r="F54" s="21">
        <f>'Ano 1 - Pós-AEE'!C42</f>
        <v>195.8</v>
      </c>
      <c r="G54" s="21">
        <f>'Ano 1 - Pós-AEE'!K42</f>
        <v>247.0680473279273</v>
      </c>
      <c r="H54" s="21">
        <f>'Ano 1 - Pós-AEE'!L42</f>
        <v>51.268047327927292</v>
      </c>
      <c r="I54" s="22">
        <f>'Ano 1 - Pós-AEE'!M42</f>
        <v>0.20750577779036106</v>
      </c>
      <c r="J54" s="26">
        <f>SUM($H$18:H54)</f>
        <v>2043.3821088224383</v>
      </c>
    </row>
    <row r="55" spans="2:10" x14ac:dyDescent="0.3">
      <c r="B55" s="25">
        <f>'Ano 1 - Pós-AEE'!B43</f>
        <v>38</v>
      </c>
      <c r="C55" s="21">
        <f>'Ano 1 - Pós-AEE'!D43</f>
        <v>22.8</v>
      </c>
      <c r="D55" s="21">
        <f>'Ano 1 - Pós-AEE'!E43</f>
        <v>39.799999999999997</v>
      </c>
      <c r="E55" s="21">
        <f>'Ano 1 - Pós-AEE'!I43</f>
        <v>18.7</v>
      </c>
      <c r="F55" s="21">
        <f>'Ano 1 - Pós-AEE'!C43</f>
        <v>205.9</v>
      </c>
      <c r="G55" s="21">
        <f>'Ano 1 - Pós-AEE'!K43</f>
        <v>259.13907751542973</v>
      </c>
      <c r="H55" s="21">
        <f>'Ano 1 - Pós-AEE'!L43</f>
        <v>53.239077515429727</v>
      </c>
      <c r="I55" s="22">
        <f>'Ano 1 - Pós-AEE'!M43</f>
        <v>0.20544596371135784</v>
      </c>
      <c r="J55" s="26">
        <f>SUM($H$18:H55)</f>
        <v>2096.621186337868</v>
      </c>
    </row>
    <row r="56" spans="2:10" x14ac:dyDescent="0.3">
      <c r="B56" s="25">
        <f>'Ano 1 - Pós-AEE'!B44</f>
        <v>39</v>
      </c>
      <c r="C56" s="21">
        <f>'Ano 1 - Pós-AEE'!D44</f>
        <v>23.7</v>
      </c>
      <c r="D56" s="21">
        <f>'Ano 1 - Pós-AEE'!E44</f>
        <v>38.4</v>
      </c>
      <c r="E56" s="21">
        <f>'Ano 1 - Pós-AEE'!I44</f>
        <v>19.100000000000001</v>
      </c>
      <c r="F56" s="21">
        <f>'Ano 1 - Pós-AEE'!C44</f>
        <v>204.7</v>
      </c>
      <c r="G56" s="21">
        <f>'Ano 1 - Pós-AEE'!K44</f>
        <v>260.20650381603781</v>
      </c>
      <c r="H56" s="21">
        <f>'Ano 1 - Pós-AEE'!L44</f>
        <v>55.506503816037821</v>
      </c>
      <c r="I56" s="22">
        <f>'Ano 1 - Pós-AEE'!M44</f>
        <v>0.21331712698188399</v>
      </c>
      <c r="J56" s="26">
        <f>SUM($H$18:H56)</f>
        <v>2152.1276901539059</v>
      </c>
    </row>
    <row r="57" spans="2:10" x14ac:dyDescent="0.3">
      <c r="B57" s="25">
        <f>'Ano 1 - Pós-AEE'!B45</f>
        <v>40</v>
      </c>
      <c r="C57" s="21">
        <f>'Ano 1 - Pós-AEE'!D45</f>
        <v>21.8</v>
      </c>
      <c r="D57" s="21">
        <f>'Ano 1 - Pós-AEE'!E45</f>
        <v>37.200000000000003</v>
      </c>
      <c r="E57" s="21">
        <f>'Ano 1 - Pós-AEE'!I45</f>
        <v>20.7</v>
      </c>
      <c r="F57" s="21">
        <f>'Ano 1 - Pós-AEE'!C45</f>
        <v>204.8</v>
      </c>
      <c r="G57" s="21">
        <f>'Ano 1 - Pós-AEE'!K45</f>
        <v>256.33906225694176</v>
      </c>
      <c r="H57" s="21">
        <f>'Ano 1 - Pós-AEE'!L45</f>
        <v>51.539062256941747</v>
      </c>
      <c r="I57" s="22">
        <f>'Ano 1 - Pós-AEE'!M45</f>
        <v>0.20105816804963383</v>
      </c>
      <c r="J57" s="26">
        <f>SUM($H$18:H57)</f>
        <v>2203.6667524108475</v>
      </c>
    </row>
    <row r="58" spans="2:10" x14ac:dyDescent="0.3">
      <c r="B58" s="25">
        <f>'Ano 1 - Pós-AEE'!B46</f>
        <v>41</v>
      </c>
      <c r="C58" s="21">
        <f>'Ano 1 - Pós-AEE'!D46</f>
        <v>22.5</v>
      </c>
      <c r="D58" s="21">
        <f>'Ano 1 - Pós-AEE'!E46</f>
        <v>38.299999999999997</v>
      </c>
      <c r="E58" s="21">
        <f>'Ano 1 - Pós-AEE'!I46</f>
        <v>20.100000000000001</v>
      </c>
      <c r="F58" s="21">
        <f>'Ano 1 - Pós-AEE'!C46</f>
        <v>202</v>
      </c>
      <c r="G58" s="21">
        <f>'Ano 1 - Pós-AEE'!K46</f>
        <v>258.67388665751105</v>
      </c>
      <c r="H58" s="21">
        <f>'Ano 1 - Pós-AEE'!L46</f>
        <v>56.673886657511048</v>
      </c>
      <c r="I58" s="22">
        <f>'Ano 1 - Pós-AEE'!M46</f>
        <v>0.21909396185997046</v>
      </c>
      <c r="J58" s="26">
        <f>SUM($H$18:H58)</f>
        <v>2260.3406390683585</v>
      </c>
    </row>
    <row r="59" spans="2:10" x14ac:dyDescent="0.3">
      <c r="B59" s="25">
        <f>'Ano 1 - Pós-AEE'!B47</f>
        <v>42</v>
      </c>
      <c r="C59" s="21">
        <f>'Ano 1 - Pós-AEE'!D47</f>
        <v>25.1</v>
      </c>
      <c r="D59" s="21">
        <f>'Ano 1 - Pós-AEE'!E47</f>
        <v>35.6</v>
      </c>
      <c r="E59" s="21">
        <f>'Ano 1 - Pós-AEE'!I47</f>
        <v>21.3</v>
      </c>
      <c r="F59" s="21">
        <f>'Ano 1 - Pós-AEE'!C47</f>
        <v>211.5</v>
      </c>
      <c r="G59" s="21">
        <f>'Ano 1 - Pós-AEE'!K47</f>
        <v>263.7318093276657</v>
      </c>
      <c r="H59" s="21">
        <f>'Ano 1 - Pós-AEE'!L47</f>
        <v>52.231809327665701</v>
      </c>
      <c r="I59" s="22">
        <f>'Ano 1 - Pós-AEE'!M47</f>
        <v>0.19804895534149183</v>
      </c>
      <c r="J59" s="26">
        <f>SUM($H$18:H59)</f>
        <v>2312.5724483960244</v>
      </c>
    </row>
    <row r="60" spans="2:10" x14ac:dyDescent="0.3">
      <c r="B60" s="25">
        <f>'Ano 1 - Pós-AEE'!B48</f>
        <v>43</v>
      </c>
      <c r="C60" s="21">
        <f>'Ano 1 - Pós-AEE'!D48</f>
        <v>22.7</v>
      </c>
      <c r="D60" s="21">
        <f>'Ano 1 - Pós-AEE'!E48</f>
        <v>43.4</v>
      </c>
      <c r="E60" s="21">
        <f>'Ano 1 - Pós-AEE'!I48</f>
        <v>22.1</v>
      </c>
      <c r="F60" s="21">
        <f>'Ano 1 - Pós-AEE'!C48</f>
        <v>217.9</v>
      </c>
      <c r="G60" s="21">
        <f>'Ano 1 - Pós-AEE'!K48</f>
        <v>269.86833745058613</v>
      </c>
      <c r="H60" s="21">
        <f>'Ano 1 - Pós-AEE'!L48</f>
        <v>51.96833745058612</v>
      </c>
      <c r="I60" s="22">
        <f>'Ano 1 - Pós-AEE'!M48</f>
        <v>0.19256922817076202</v>
      </c>
      <c r="J60" s="26">
        <f>SUM($H$18:H60)</f>
        <v>2364.5407858466106</v>
      </c>
    </row>
    <row r="61" spans="2:10" x14ac:dyDescent="0.3">
      <c r="B61" s="25">
        <f>'Ano 1 - Pós-AEE'!B49</f>
        <v>44</v>
      </c>
      <c r="C61" s="21">
        <f>'Ano 1 - Pós-AEE'!D49</f>
        <v>20.399999999999999</v>
      </c>
      <c r="D61" s="21">
        <f>'Ano 1 - Pós-AEE'!E49</f>
        <v>38.9</v>
      </c>
      <c r="E61" s="21">
        <f>'Ano 1 - Pós-AEE'!I49</f>
        <v>22.1</v>
      </c>
      <c r="F61" s="21">
        <f>'Ano 1 - Pós-AEE'!C49</f>
        <v>201.7</v>
      </c>
      <c r="G61" s="21">
        <f>'Ano 1 - Pós-AEE'!K49</f>
        <v>257.51991612259081</v>
      </c>
      <c r="H61" s="21">
        <f>'Ano 1 - Pós-AEE'!L49</f>
        <v>55.819916122590826</v>
      </c>
      <c r="I61" s="22">
        <f>'Ano 1 - Pós-AEE'!M49</f>
        <v>0.2167596082006259</v>
      </c>
      <c r="J61" s="26">
        <f>SUM($H$18:H61)</f>
        <v>2420.3607019692013</v>
      </c>
    </row>
    <row r="62" spans="2:10" x14ac:dyDescent="0.3">
      <c r="B62" s="25">
        <f>'Ano 1 - Pós-AEE'!B50</f>
        <v>45</v>
      </c>
      <c r="C62" s="21">
        <f>'Ano 1 - Pós-AEE'!D50</f>
        <v>22.9</v>
      </c>
      <c r="D62" s="21">
        <f>'Ano 1 - Pós-AEE'!E50</f>
        <v>39.1</v>
      </c>
      <c r="E62" s="21">
        <f>'Ano 1 - Pós-AEE'!I50</f>
        <v>24.6</v>
      </c>
      <c r="F62" s="21">
        <f>'Ano 1 - Pós-AEE'!C50</f>
        <v>210</v>
      </c>
      <c r="G62" s="21">
        <f>'Ano 1 - Pós-AEE'!K50</f>
        <v>268.6687739826238</v>
      </c>
      <c r="H62" s="21">
        <f>'Ano 1 - Pós-AEE'!L50</f>
        <v>58.668773982623804</v>
      </c>
      <c r="I62" s="22">
        <f>'Ano 1 - Pós-AEE'!M50</f>
        <v>0.21836841369000409</v>
      </c>
      <c r="J62" s="26">
        <f>SUM($H$18:H62)</f>
        <v>2479.0294759518251</v>
      </c>
    </row>
    <row r="63" spans="2:10" x14ac:dyDescent="0.3">
      <c r="B63" s="25">
        <f>'Ano 1 - Pós-AEE'!B51</f>
        <v>46</v>
      </c>
      <c r="C63" s="21">
        <f>'Ano 1 - Pós-AEE'!D51</f>
        <v>20.100000000000001</v>
      </c>
      <c r="D63" s="21">
        <f>'Ano 1 - Pós-AEE'!E51</f>
        <v>40.6</v>
      </c>
      <c r="E63" s="21">
        <f>'Ano 1 - Pós-AEE'!I51</f>
        <v>25.4</v>
      </c>
      <c r="F63" s="21">
        <f>'Ano 1 - Pós-AEE'!C51</f>
        <v>212.4</v>
      </c>
      <c r="G63" s="21">
        <f>'Ano 1 - Pós-AEE'!K51</f>
        <v>264.8728206559166</v>
      </c>
      <c r="H63" s="21">
        <f>'Ano 1 - Pós-AEE'!L51</f>
        <v>52.472820655916593</v>
      </c>
      <c r="I63" s="22">
        <f>'Ano 1 - Pós-AEE'!M51</f>
        <v>0.19810571928813142</v>
      </c>
      <c r="J63" s="26">
        <f>SUM($H$18:H63)</f>
        <v>2531.5022966077418</v>
      </c>
    </row>
    <row r="64" spans="2:10" x14ac:dyDescent="0.3">
      <c r="B64" s="25">
        <f>'Ano 1 - Pós-AEE'!B52</f>
        <v>47</v>
      </c>
      <c r="C64" s="21">
        <f>'Ano 1 - Pós-AEE'!D52</f>
        <v>17.5</v>
      </c>
      <c r="D64" s="21">
        <f>'Ano 1 - Pós-AEE'!E52</f>
        <v>40.299999999999997</v>
      </c>
      <c r="E64" s="21">
        <f>'Ano 1 - Pós-AEE'!I52</f>
        <v>26</v>
      </c>
      <c r="F64" s="21">
        <f>'Ano 1 - Pós-AEE'!C52</f>
        <v>208.2</v>
      </c>
      <c r="G64" s="21">
        <f>'Ano 1 - Pós-AEE'!K52</f>
        <v>258.71107617186169</v>
      </c>
      <c r="H64" s="21">
        <f>'Ano 1 - Pós-AEE'!L52</f>
        <v>50.511076171861703</v>
      </c>
      <c r="I64" s="22">
        <f>'Ano 1 - Pós-AEE'!M52</f>
        <v>0.19524125877899101</v>
      </c>
      <c r="J64" s="26">
        <f>SUM($H$18:H64)</f>
        <v>2582.0133727796033</v>
      </c>
    </row>
    <row r="65" spans="2:10" x14ac:dyDescent="0.3">
      <c r="B65" s="25">
        <f>'Ano 1 - Pós-AEE'!B53</f>
        <v>48</v>
      </c>
      <c r="C65" s="21">
        <f>'Ano 1 - Pós-AEE'!D53</f>
        <v>19.5</v>
      </c>
      <c r="D65" s="21">
        <f>'Ano 1 - Pós-AEE'!E53</f>
        <v>39.9</v>
      </c>
      <c r="E65" s="21">
        <f>'Ano 1 - Pós-AEE'!I53</f>
        <v>26.5</v>
      </c>
      <c r="F65" s="21">
        <f>'Ano 1 - Pós-AEE'!C53</f>
        <v>206.6</v>
      </c>
      <c r="G65" s="21">
        <f>'Ano 1 - Pós-AEE'!K53</f>
        <v>264.23241454381099</v>
      </c>
      <c r="H65" s="21">
        <f>'Ano 1 - Pós-AEE'!L53</f>
        <v>57.632414543810995</v>
      </c>
      <c r="I65" s="22">
        <f>'Ano 1 - Pós-AEE'!M53</f>
        <v>0.21811258336079453</v>
      </c>
      <c r="J65" s="26">
        <f>SUM($H$18:H65)</f>
        <v>2639.6457873234144</v>
      </c>
    </row>
    <row r="66" spans="2:10" x14ac:dyDescent="0.3">
      <c r="B66" s="25">
        <f>'Ano 1 - Pós-AEE'!B54</f>
        <v>49</v>
      </c>
      <c r="C66" s="21">
        <f>'Ano 1 - Pós-AEE'!D54</f>
        <v>18.399999999999999</v>
      </c>
      <c r="D66" s="21">
        <f>'Ano 1 - Pós-AEE'!E54</f>
        <v>38</v>
      </c>
      <c r="E66" s="21">
        <f>'Ano 1 - Pós-AEE'!I54</f>
        <v>26.2</v>
      </c>
      <c r="F66" s="21">
        <f>'Ano 1 - Pós-AEE'!C54</f>
        <v>202.5</v>
      </c>
      <c r="G66" s="21">
        <f>'Ano 1 - Pós-AEE'!K54</f>
        <v>258.16094042103555</v>
      </c>
      <c r="H66" s="21">
        <f>'Ano 1 - Pós-AEE'!L54</f>
        <v>55.660940421035548</v>
      </c>
      <c r="I66" s="22">
        <f>'Ano 1 - Pós-AEE'!M54</f>
        <v>0.21560558437019145</v>
      </c>
      <c r="J66" s="26">
        <f>SUM($H$18:H66)</f>
        <v>2695.3067277444497</v>
      </c>
    </row>
    <row r="67" spans="2:10" x14ac:dyDescent="0.3">
      <c r="B67" s="25">
        <f>'Ano 1 - Pós-AEE'!B55</f>
        <v>50</v>
      </c>
      <c r="C67" s="21">
        <f>'Ano 1 - Pós-AEE'!D55</f>
        <v>21.4</v>
      </c>
      <c r="D67" s="21">
        <f>'Ano 1 - Pós-AEE'!E55</f>
        <v>40.700000000000003</v>
      </c>
      <c r="E67" s="21">
        <f>'Ano 1 - Pós-AEE'!I55</f>
        <v>27.7</v>
      </c>
      <c r="F67" s="21">
        <f>'Ano 1 - Pós-AEE'!C55</f>
        <v>213.4</v>
      </c>
      <c r="G67" s="21">
        <f>'Ano 1 - Pós-AEE'!K55</f>
        <v>272.40298215645396</v>
      </c>
      <c r="H67" s="21">
        <f>'Ano 1 - Pós-AEE'!L55</f>
        <v>59.002982156453953</v>
      </c>
      <c r="I67" s="22">
        <f>'Ano 1 - Pós-AEE'!M55</f>
        <v>0.21660182164439645</v>
      </c>
      <c r="J67" s="26">
        <f>SUM($H$18:H67)</f>
        <v>2754.3097099009037</v>
      </c>
    </row>
    <row r="68" spans="2:10" x14ac:dyDescent="0.3">
      <c r="B68" s="25">
        <f>'Ano 1 - Pós-AEE'!B56</f>
        <v>51</v>
      </c>
      <c r="C68" s="21">
        <f>'Ano 1 - Pós-AEE'!D56</f>
        <v>22.5</v>
      </c>
      <c r="D68" s="21">
        <f>'Ano 1 - Pós-AEE'!E56</f>
        <v>43.7</v>
      </c>
      <c r="E68" s="21">
        <f>'Ano 1 - Pós-AEE'!I56</f>
        <v>28.4</v>
      </c>
      <c r="F68" s="21">
        <f>'Ano 1 - Pós-AEE'!C56</f>
        <v>216.4</v>
      </c>
      <c r="G68" s="21">
        <f>'Ano 1 - Pós-AEE'!K56</f>
        <v>280.72189423851535</v>
      </c>
      <c r="H68" s="21">
        <f>'Ano 1 - Pós-AEE'!L56</f>
        <v>64.321894238515341</v>
      </c>
      <c r="I68" s="22">
        <f>'Ano 1 - Pós-AEE'!M56</f>
        <v>0.22913030853184627</v>
      </c>
      <c r="J68" s="26">
        <f>SUM($H$18:H68)</f>
        <v>2818.6316041394189</v>
      </c>
    </row>
    <row r="69" spans="2:10" x14ac:dyDescent="0.3">
      <c r="B69" s="25">
        <f>'Ano 1 - Pós-AEE'!B57</f>
        <v>52</v>
      </c>
      <c r="C69" s="21">
        <f>'Ano 1 - Pós-AEE'!D57</f>
        <v>25.8</v>
      </c>
      <c r="D69" s="21">
        <f>'Ano 1 - Pós-AEE'!E57</f>
        <v>42.6</v>
      </c>
      <c r="E69" s="21">
        <f>'Ano 1 - Pós-AEE'!I57</f>
        <v>28.4</v>
      </c>
      <c r="F69" s="21">
        <f>'Ano 1 - Pós-AEE'!C57</f>
        <v>223</v>
      </c>
      <c r="G69" s="21">
        <f>'Ano 1 - Pós-AEE'!K57</f>
        <v>287.77709181131382</v>
      </c>
      <c r="H69" s="21">
        <f>'Ano 1 - Pós-AEE'!L57</f>
        <v>64.777091811313824</v>
      </c>
      <c r="I69" s="22">
        <f>'Ano 1 - Pós-AEE'!M57</f>
        <v>0.22509467798008773</v>
      </c>
      <c r="J69" s="26">
        <f>SUM($H$18:H69)</f>
        <v>2883.4086959507326</v>
      </c>
    </row>
    <row r="70" spans="2:10" ht="15" customHeight="1" thickBot="1" x14ac:dyDescent="0.35">
      <c r="B70" s="27" t="s">
        <v>223</v>
      </c>
      <c r="C70" s="28"/>
      <c r="D70" s="28"/>
      <c r="E70" s="28"/>
      <c r="F70" s="29">
        <f>SUM(F18:F69)</f>
        <v>10735.800000000001</v>
      </c>
      <c r="G70" s="29">
        <f>SUM(G18:G69)</f>
        <v>13619.208695950732</v>
      </c>
      <c r="H70" s="29">
        <f>SUM(H18:H69)</f>
        <v>2883.4086959507326</v>
      </c>
      <c r="I70" s="30">
        <f>H70/G70</f>
        <v>0.21171631629435481</v>
      </c>
      <c r="J70" s="31"/>
    </row>
  </sheetData>
  <mergeCells count="11">
    <mergeCell ref="B2:J2"/>
    <mergeCell ref="B13:D13"/>
    <mergeCell ref="B5:E5"/>
    <mergeCell ref="B12:D12"/>
    <mergeCell ref="B7:D7"/>
    <mergeCell ref="B6:D6"/>
    <mergeCell ref="B10:D10"/>
    <mergeCell ref="B11:D11"/>
    <mergeCell ref="B3:J3"/>
    <mergeCell ref="B8:D8"/>
    <mergeCell ref="B9:D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67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M13" sqref="M13"/>
    </sheetView>
  </sheetViews>
  <sheetFormatPr defaultColWidth="8.6640625" defaultRowHeight="14.4" x14ac:dyDescent="0.3"/>
  <cols>
    <col min="2" max="2" width="40" customWidth="1"/>
    <col min="3" max="9" width="15.6640625" customWidth="1"/>
  </cols>
  <sheetData>
    <row r="1" spans="2:9" ht="15" customHeight="1" thickBot="1" x14ac:dyDescent="0.35"/>
    <row r="2" spans="2:9" ht="17.399999999999999" customHeight="1" x14ac:dyDescent="0.3">
      <c r="B2" s="175" t="s">
        <v>224</v>
      </c>
      <c r="C2" s="52"/>
      <c r="D2" s="52"/>
      <c r="E2" s="52"/>
      <c r="F2" s="52"/>
      <c r="G2" s="52"/>
      <c r="H2" s="52"/>
      <c r="I2" s="53"/>
    </row>
    <row r="3" spans="2:9" ht="15" customHeight="1" thickBot="1" x14ac:dyDescent="0.35">
      <c r="B3" s="258" t="s">
        <v>225</v>
      </c>
      <c r="C3" s="235"/>
      <c r="D3" s="235"/>
      <c r="E3" s="235"/>
      <c r="F3" s="235"/>
      <c r="G3" s="235"/>
      <c r="H3" s="235"/>
      <c r="I3" s="236"/>
    </row>
    <row r="4" spans="2:9" ht="15" customHeight="1" thickBot="1" x14ac:dyDescent="0.35"/>
    <row r="5" spans="2:9" x14ac:dyDescent="0.3">
      <c r="B5" s="259" t="s">
        <v>226</v>
      </c>
      <c r="C5" s="260"/>
      <c r="E5" s="282" t="s">
        <v>227</v>
      </c>
      <c r="F5" s="253"/>
      <c r="G5" s="265"/>
    </row>
    <row r="6" spans="2:9" x14ac:dyDescent="0.3">
      <c r="B6" s="89" t="s">
        <v>228</v>
      </c>
      <c r="C6" s="169">
        <v>30</v>
      </c>
      <c r="E6" s="264" t="s">
        <v>229</v>
      </c>
      <c r="F6" s="265"/>
      <c r="G6" s="172">
        <f>H67</f>
        <v>2538.4086959507326</v>
      </c>
    </row>
    <row r="7" spans="2:9" x14ac:dyDescent="0.3">
      <c r="B7" s="89" t="s">
        <v>230</v>
      </c>
      <c r="C7" s="170">
        <v>15</v>
      </c>
      <c r="E7" s="264" t="s">
        <v>231</v>
      </c>
      <c r="F7" s="265"/>
      <c r="G7" s="172">
        <f>I67</f>
        <v>2883.4086959507326</v>
      </c>
    </row>
    <row r="8" spans="2:9" x14ac:dyDescent="0.3">
      <c r="B8" s="89" t="s">
        <v>232</v>
      </c>
      <c r="C8" s="135">
        <f>COUNTIF('Ano 1 - Pós-AEE'!B6:B57,"&gt;="&amp;C6)</f>
        <v>23</v>
      </c>
      <c r="E8" s="264" t="s">
        <v>233</v>
      </c>
      <c r="F8" s="265"/>
      <c r="G8" s="172">
        <f>G7-G6</f>
        <v>345</v>
      </c>
    </row>
    <row r="9" spans="2:9" ht="15" customHeight="1" thickBot="1" x14ac:dyDescent="0.35">
      <c r="B9" s="91" t="s">
        <v>234</v>
      </c>
      <c r="C9" s="171">
        <f>C7*C8</f>
        <v>345</v>
      </c>
      <c r="E9" s="264" t="s">
        <v>235</v>
      </c>
      <c r="F9" s="265"/>
      <c r="G9" s="20">
        <f>H67/E67</f>
        <v>0.18638444807042667</v>
      </c>
    </row>
    <row r="10" spans="2:9" x14ac:dyDescent="0.3">
      <c r="E10" s="264" t="s">
        <v>236</v>
      </c>
      <c r="F10" s="265"/>
      <c r="G10" s="20">
        <f>I67/G67</f>
        <v>0.20648564904267352</v>
      </c>
    </row>
    <row r="11" spans="2:9" x14ac:dyDescent="0.3">
      <c r="E11" s="173"/>
      <c r="F11" s="173"/>
      <c r="G11" s="174"/>
    </row>
    <row r="12" spans="2:9" ht="75" customHeight="1" x14ac:dyDescent="0.3">
      <c r="B12" s="256" t="str">
        <f>"Hipótese de trabalho: os dados do Ano 1 recebidos não contêm a extrusora (cenário hipotético). Logo, o consumo medido real a partir da semana "&amp;C6&amp;" seria o registrado MAIS "&amp;C7&amp;_xlfn._LONGTEXT(" MWh. Como a extrusora não tem relação com P1…P5, a equação da linha de base (que só enxerga produção e clima) continua válida, porém deixa de representar o novo estado da instalação: a fábrica passou a ter um fator estático novo (carga base maior), que n","ão é efeito do retrofit.")</f>
        <v>Hipótese de trabalho: os dados do Ano 1 recebidos não contêm a extrusora (cenário hipotético). Logo, o consumo medido real a partir da semana 30 seria o registrado MAIS 15 MWh. Como a extrusora não tem relação com P1…P5, a equação da linha de base (que só enxerga produção e clima) continua válida, porém deixa de representar o novo estado da instalação: a fábrica passou a ter um fator estático novo (carga base maior), que não é efeito do retrofit.</v>
      </c>
      <c r="C12" s="257"/>
      <c r="D12" s="257"/>
      <c r="E12" s="257"/>
      <c r="F12" s="257"/>
      <c r="G12" s="257"/>
      <c r="H12" s="257"/>
      <c r="I12" s="257"/>
    </row>
    <row r="13" spans="2:9" ht="60" customHeight="1" x14ac:dyDescent="0.3">
      <c r="B13" s="256" t="str">
        <f>"Sem o ANR, os "&amp;C7&amp;" MWh/sem. da extrusora seriam contabilizados como consumo e a economia do retrofit seria subestimada. O ANR eleva a linha de base: EE_LB,aj,ANR(s) = EE_LB,aj(s) + "&amp;C7&amp;"·u(s − "&amp;C6&amp;"), onde u é o degrau unitário. A economia passa a ser ΔEE = EE_LB,aj + ANR − EE_medido."</f>
        <v>Sem o ANR, os 15 MWh/sem. da extrusora seriam contabilizados como consumo e a economia do retrofit seria subestimada. O ANR eleva a linha de base: EE_LB,aj,ANR(s) = EE_LB,aj(s) + 15·u(s − 30), onde u é o degrau unitário. A economia passa a ser ΔEE = EE_LB,aj + ANR − EE_medido.</v>
      </c>
      <c r="C13" s="257"/>
      <c r="D13" s="257"/>
      <c r="E13" s="257"/>
      <c r="F13" s="257"/>
      <c r="G13" s="257"/>
      <c r="H13" s="257"/>
      <c r="I13" s="257"/>
    </row>
    <row r="14" spans="2:9" ht="45" customHeight="1" thickBot="1" x14ac:dyDescent="0.35">
      <c r="B14" s="185" t="s">
        <v>35</v>
      </c>
      <c r="C14" s="160" t="s">
        <v>237</v>
      </c>
      <c r="D14" s="160" t="s">
        <v>238</v>
      </c>
      <c r="E14" s="160" t="s">
        <v>239</v>
      </c>
      <c r="F14" s="160" t="s">
        <v>240</v>
      </c>
      <c r="G14" s="160" t="s">
        <v>241</v>
      </c>
      <c r="H14" s="160" t="s">
        <v>242</v>
      </c>
      <c r="I14" s="186" t="s">
        <v>243</v>
      </c>
    </row>
    <row r="15" spans="2:9" x14ac:dyDescent="0.3">
      <c r="B15" s="179">
        <f>'Ano 1 - Pós-AEE'!B6</f>
        <v>1</v>
      </c>
      <c r="C15" s="33">
        <f>'Ano 1 - Pós-AEE'!C6</f>
        <v>214.8</v>
      </c>
      <c r="D15" s="33">
        <f t="shared" ref="D15:D46" si="0">C15+IF(B15&gt;=$C$6,$C$7,0)</f>
        <v>214.8</v>
      </c>
      <c r="E15" s="33">
        <f>'Ano 1 - Pós-AEE'!K6</f>
        <v>272.38107954097512</v>
      </c>
      <c r="F15" s="33">
        <f t="shared" ref="F15:F46" si="1">IF(B15&gt;=$C$6,$C$7,0)</f>
        <v>0</v>
      </c>
      <c r="G15" s="33">
        <f t="shared" ref="G15:G46" si="2">E15+F15</f>
        <v>272.38107954097512</v>
      </c>
      <c r="H15" s="33">
        <f t="shared" ref="H15:H46" si="3">E15-D15</f>
        <v>57.581079540975111</v>
      </c>
      <c r="I15" s="182">
        <f t="shared" ref="I15:I46" si="4">G15-D15</f>
        <v>57.581079540975111</v>
      </c>
    </row>
    <row r="16" spans="2:9" x14ac:dyDescent="0.3">
      <c r="B16" s="180">
        <f>'Ano 1 - Pós-AEE'!B7</f>
        <v>2</v>
      </c>
      <c r="C16" s="21">
        <f>'Ano 1 - Pós-AEE'!C7</f>
        <v>219.6</v>
      </c>
      <c r="D16" s="21">
        <f t="shared" si="0"/>
        <v>219.6</v>
      </c>
      <c r="E16" s="21">
        <f>'Ano 1 - Pós-AEE'!K7</f>
        <v>284.07637701517552</v>
      </c>
      <c r="F16" s="21">
        <f t="shared" si="1"/>
        <v>0</v>
      </c>
      <c r="G16" s="21">
        <f t="shared" si="2"/>
        <v>284.07637701517552</v>
      </c>
      <c r="H16" s="21">
        <f t="shared" si="3"/>
        <v>64.47637701517553</v>
      </c>
      <c r="I16" s="183">
        <f t="shared" si="4"/>
        <v>64.47637701517553</v>
      </c>
    </row>
    <row r="17" spans="2:9" x14ac:dyDescent="0.3">
      <c r="B17" s="180">
        <f>'Ano 1 - Pós-AEE'!B8</f>
        <v>3</v>
      </c>
      <c r="C17" s="21">
        <f>'Ano 1 - Pós-AEE'!C8</f>
        <v>224.1</v>
      </c>
      <c r="D17" s="21">
        <f t="shared" si="0"/>
        <v>224.1</v>
      </c>
      <c r="E17" s="21">
        <f>'Ano 1 - Pós-AEE'!K8</f>
        <v>283.90925041686654</v>
      </c>
      <c r="F17" s="21">
        <f t="shared" si="1"/>
        <v>0</v>
      </c>
      <c r="G17" s="21">
        <f t="shared" si="2"/>
        <v>283.90925041686654</v>
      </c>
      <c r="H17" s="21">
        <f t="shared" si="3"/>
        <v>59.809250416866547</v>
      </c>
      <c r="I17" s="183">
        <f t="shared" si="4"/>
        <v>59.809250416866547</v>
      </c>
    </row>
    <row r="18" spans="2:9" x14ac:dyDescent="0.3">
      <c r="B18" s="180">
        <f>'Ano 1 - Pós-AEE'!B9</f>
        <v>4</v>
      </c>
      <c r="C18" s="21">
        <f>'Ano 1 - Pós-AEE'!C9</f>
        <v>223.2</v>
      </c>
      <c r="D18" s="21">
        <f t="shared" si="0"/>
        <v>223.2</v>
      </c>
      <c r="E18" s="21">
        <f>'Ano 1 - Pós-AEE'!K9</f>
        <v>280.9436046133323</v>
      </c>
      <c r="F18" s="21">
        <f t="shared" si="1"/>
        <v>0</v>
      </c>
      <c r="G18" s="21">
        <f t="shared" si="2"/>
        <v>280.9436046133323</v>
      </c>
      <c r="H18" s="21">
        <f t="shared" si="3"/>
        <v>57.743604613332309</v>
      </c>
      <c r="I18" s="183">
        <f t="shared" si="4"/>
        <v>57.743604613332309</v>
      </c>
    </row>
    <row r="19" spans="2:9" x14ac:dyDescent="0.3">
      <c r="B19" s="180">
        <f>'Ano 1 - Pós-AEE'!B10</f>
        <v>5</v>
      </c>
      <c r="C19" s="21">
        <f>'Ano 1 - Pós-AEE'!C10</f>
        <v>221.7</v>
      </c>
      <c r="D19" s="21">
        <f t="shared" si="0"/>
        <v>221.7</v>
      </c>
      <c r="E19" s="21">
        <f>'Ano 1 - Pós-AEE'!K10</f>
        <v>280.00053591737031</v>
      </c>
      <c r="F19" s="21">
        <f t="shared" si="1"/>
        <v>0</v>
      </c>
      <c r="G19" s="21">
        <f t="shared" si="2"/>
        <v>280.00053591737031</v>
      </c>
      <c r="H19" s="21">
        <f t="shared" si="3"/>
        <v>58.300535917370325</v>
      </c>
      <c r="I19" s="183">
        <f t="shared" si="4"/>
        <v>58.300535917370325</v>
      </c>
    </row>
    <row r="20" spans="2:9" x14ac:dyDescent="0.3">
      <c r="B20" s="180">
        <f>'Ano 1 - Pós-AEE'!B11</f>
        <v>6</v>
      </c>
      <c r="C20" s="21">
        <f>'Ano 1 - Pós-AEE'!C11</f>
        <v>221.1</v>
      </c>
      <c r="D20" s="21">
        <f t="shared" si="0"/>
        <v>221.1</v>
      </c>
      <c r="E20" s="21">
        <f>'Ano 1 - Pós-AEE'!K11</f>
        <v>277.35788673333138</v>
      </c>
      <c r="F20" s="21">
        <f t="shared" si="1"/>
        <v>0</v>
      </c>
      <c r="G20" s="21">
        <f t="shared" si="2"/>
        <v>277.35788673333138</v>
      </c>
      <c r="H20" s="21">
        <f t="shared" si="3"/>
        <v>56.257886733331389</v>
      </c>
      <c r="I20" s="183">
        <f t="shared" si="4"/>
        <v>56.257886733331389</v>
      </c>
    </row>
    <row r="21" spans="2:9" x14ac:dyDescent="0.3">
      <c r="B21" s="180">
        <f>'Ano 1 - Pós-AEE'!B12</f>
        <v>7</v>
      </c>
      <c r="C21" s="21">
        <f>'Ano 1 - Pós-AEE'!C12</f>
        <v>216.7</v>
      </c>
      <c r="D21" s="21">
        <f t="shared" si="0"/>
        <v>216.7</v>
      </c>
      <c r="E21" s="21">
        <f>'Ano 1 - Pós-AEE'!K12</f>
        <v>271.74808314653507</v>
      </c>
      <c r="F21" s="21">
        <f t="shared" si="1"/>
        <v>0</v>
      </c>
      <c r="G21" s="21">
        <f t="shared" si="2"/>
        <v>271.74808314653507</v>
      </c>
      <c r="H21" s="21">
        <f t="shared" si="3"/>
        <v>55.048083146535078</v>
      </c>
      <c r="I21" s="183">
        <f t="shared" si="4"/>
        <v>55.048083146535078</v>
      </c>
    </row>
    <row r="22" spans="2:9" x14ac:dyDescent="0.3">
      <c r="B22" s="180">
        <f>'Ano 1 - Pós-AEE'!B13</f>
        <v>8</v>
      </c>
      <c r="C22" s="21">
        <f>'Ano 1 - Pós-AEE'!C13</f>
        <v>226.2</v>
      </c>
      <c r="D22" s="21">
        <f t="shared" si="0"/>
        <v>226.2</v>
      </c>
      <c r="E22" s="21">
        <f>'Ano 1 - Pós-AEE'!K13</f>
        <v>286.47517664232629</v>
      </c>
      <c r="F22" s="21">
        <f t="shared" si="1"/>
        <v>0</v>
      </c>
      <c r="G22" s="21">
        <f t="shared" si="2"/>
        <v>286.47517664232629</v>
      </c>
      <c r="H22" s="21">
        <f t="shared" si="3"/>
        <v>60.275176642326301</v>
      </c>
      <c r="I22" s="183">
        <f t="shared" si="4"/>
        <v>60.275176642326301</v>
      </c>
    </row>
    <row r="23" spans="2:9" x14ac:dyDescent="0.3">
      <c r="B23" s="180">
        <f>'Ano 1 - Pós-AEE'!B14</f>
        <v>9</v>
      </c>
      <c r="C23" s="21">
        <f>'Ano 1 - Pós-AEE'!C14</f>
        <v>220.7</v>
      </c>
      <c r="D23" s="21">
        <f t="shared" si="0"/>
        <v>220.7</v>
      </c>
      <c r="E23" s="21">
        <f>'Ano 1 - Pós-AEE'!K14</f>
        <v>281.04575050932988</v>
      </c>
      <c r="F23" s="21">
        <f t="shared" si="1"/>
        <v>0</v>
      </c>
      <c r="G23" s="21">
        <f t="shared" si="2"/>
        <v>281.04575050932988</v>
      </c>
      <c r="H23" s="21">
        <f t="shared" si="3"/>
        <v>60.345750509329889</v>
      </c>
      <c r="I23" s="183">
        <f t="shared" si="4"/>
        <v>60.345750509329889</v>
      </c>
    </row>
    <row r="24" spans="2:9" x14ac:dyDescent="0.3">
      <c r="B24" s="180">
        <f>'Ano 1 - Pós-AEE'!B15</f>
        <v>10</v>
      </c>
      <c r="C24" s="21">
        <f>'Ano 1 - Pós-AEE'!C15</f>
        <v>209.3</v>
      </c>
      <c r="D24" s="21">
        <f t="shared" si="0"/>
        <v>209.3</v>
      </c>
      <c r="E24" s="21">
        <f>'Ano 1 - Pós-AEE'!K15</f>
        <v>271.58353137505247</v>
      </c>
      <c r="F24" s="21">
        <f t="shared" si="1"/>
        <v>0</v>
      </c>
      <c r="G24" s="21">
        <f t="shared" si="2"/>
        <v>271.58353137505247</v>
      </c>
      <c r="H24" s="21">
        <f t="shared" si="3"/>
        <v>62.283531375052462</v>
      </c>
      <c r="I24" s="183">
        <f t="shared" si="4"/>
        <v>62.283531375052462</v>
      </c>
    </row>
    <row r="25" spans="2:9" x14ac:dyDescent="0.3">
      <c r="B25" s="180">
        <f>'Ano 1 - Pós-AEE'!B16</f>
        <v>11</v>
      </c>
      <c r="C25" s="21">
        <f>'Ano 1 - Pós-AEE'!C16</f>
        <v>219.3</v>
      </c>
      <c r="D25" s="21">
        <f t="shared" si="0"/>
        <v>219.3</v>
      </c>
      <c r="E25" s="21">
        <f>'Ano 1 - Pós-AEE'!K16</f>
        <v>277.5688185625981</v>
      </c>
      <c r="F25" s="21">
        <f t="shared" si="1"/>
        <v>0</v>
      </c>
      <c r="G25" s="21">
        <f t="shared" si="2"/>
        <v>277.5688185625981</v>
      </c>
      <c r="H25" s="21">
        <f t="shared" si="3"/>
        <v>58.268818562598085</v>
      </c>
      <c r="I25" s="183">
        <f t="shared" si="4"/>
        <v>58.268818562598085</v>
      </c>
    </row>
    <row r="26" spans="2:9" x14ac:dyDescent="0.3">
      <c r="B26" s="180">
        <f>'Ano 1 - Pós-AEE'!B17</f>
        <v>12</v>
      </c>
      <c r="C26" s="21">
        <f>'Ano 1 - Pós-AEE'!C17</f>
        <v>211.9</v>
      </c>
      <c r="D26" s="21">
        <f t="shared" si="0"/>
        <v>211.9</v>
      </c>
      <c r="E26" s="21">
        <f>'Ano 1 - Pós-AEE'!K17</f>
        <v>269.0757699999134</v>
      </c>
      <c r="F26" s="21">
        <f t="shared" si="1"/>
        <v>0</v>
      </c>
      <c r="G26" s="21">
        <f t="shared" si="2"/>
        <v>269.0757699999134</v>
      </c>
      <c r="H26" s="21">
        <f t="shared" si="3"/>
        <v>57.175769999913399</v>
      </c>
      <c r="I26" s="183">
        <f t="shared" si="4"/>
        <v>57.175769999913399</v>
      </c>
    </row>
    <row r="27" spans="2:9" x14ac:dyDescent="0.3">
      <c r="B27" s="180">
        <f>'Ano 1 - Pós-AEE'!B18</f>
        <v>13</v>
      </c>
      <c r="C27" s="21">
        <f>'Ano 1 - Pós-AEE'!C18</f>
        <v>213.3</v>
      </c>
      <c r="D27" s="21">
        <f t="shared" si="0"/>
        <v>213.3</v>
      </c>
      <c r="E27" s="21">
        <f>'Ano 1 - Pós-AEE'!K18</f>
        <v>269.92074623561894</v>
      </c>
      <c r="F27" s="21">
        <f t="shared" si="1"/>
        <v>0</v>
      </c>
      <c r="G27" s="21">
        <f t="shared" si="2"/>
        <v>269.92074623561894</v>
      </c>
      <c r="H27" s="21">
        <f t="shared" si="3"/>
        <v>56.620746235618924</v>
      </c>
      <c r="I27" s="183">
        <f t="shared" si="4"/>
        <v>56.620746235618924</v>
      </c>
    </row>
    <row r="28" spans="2:9" x14ac:dyDescent="0.3">
      <c r="B28" s="180">
        <f>'Ano 1 - Pós-AEE'!B19</f>
        <v>14</v>
      </c>
      <c r="C28" s="21">
        <f>'Ano 1 - Pós-AEE'!C19</f>
        <v>203.5</v>
      </c>
      <c r="D28" s="21">
        <f t="shared" si="0"/>
        <v>203.5</v>
      </c>
      <c r="E28" s="21">
        <f>'Ano 1 - Pós-AEE'!K19</f>
        <v>262.59636691069551</v>
      </c>
      <c r="F28" s="21">
        <f t="shared" si="1"/>
        <v>0</v>
      </c>
      <c r="G28" s="21">
        <f t="shared" si="2"/>
        <v>262.59636691069551</v>
      </c>
      <c r="H28" s="21">
        <f t="shared" si="3"/>
        <v>59.096366910695508</v>
      </c>
      <c r="I28" s="183">
        <f t="shared" si="4"/>
        <v>59.096366910695508</v>
      </c>
    </row>
    <row r="29" spans="2:9" x14ac:dyDescent="0.3">
      <c r="B29" s="180">
        <f>'Ano 1 - Pós-AEE'!B20</f>
        <v>15</v>
      </c>
      <c r="C29" s="21">
        <f>'Ano 1 - Pós-AEE'!C20</f>
        <v>200.2</v>
      </c>
      <c r="D29" s="21">
        <f t="shared" si="0"/>
        <v>200.2</v>
      </c>
      <c r="E29" s="21">
        <f>'Ano 1 - Pós-AEE'!K20</f>
        <v>257.53625670310532</v>
      </c>
      <c r="F29" s="21">
        <f t="shared" si="1"/>
        <v>0</v>
      </c>
      <c r="G29" s="21">
        <f t="shared" si="2"/>
        <v>257.53625670310532</v>
      </c>
      <c r="H29" s="21">
        <f t="shared" si="3"/>
        <v>57.336256703105335</v>
      </c>
      <c r="I29" s="183">
        <f t="shared" si="4"/>
        <v>57.336256703105335</v>
      </c>
    </row>
    <row r="30" spans="2:9" x14ac:dyDescent="0.3">
      <c r="B30" s="180">
        <f>'Ano 1 - Pós-AEE'!B21</f>
        <v>16</v>
      </c>
      <c r="C30" s="21">
        <f>'Ano 1 - Pós-AEE'!C21</f>
        <v>206.6</v>
      </c>
      <c r="D30" s="21">
        <f t="shared" si="0"/>
        <v>206.6</v>
      </c>
      <c r="E30" s="21">
        <f>'Ano 1 - Pós-AEE'!K21</f>
        <v>257.84270616580216</v>
      </c>
      <c r="F30" s="21">
        <f t="shared" si="1"/>
        <v>0</v>
      </c>
      <c r="G30" s="21">
        <f t="shared" si="2"/>
        <v>257.84270616580216</v>
      </c>
      <c r="H30" s="21">
        <f t="shared" si="3"/>
        <v>51.242706165802161</v>
      </c>
      <c r="I30" s="183">
        <f t="shared" si="4"/>
        <v>51.242706165802161</v>
      </c>
    </row>
    <row r="31" spans="2:9" x14ac:dyDescent="0.3">
      <c r="B31" s="180">
        <f>'Ano 1 - Pós-AEE'!B22</f>
        <v>17</v>
      </c>
      <c r="C31" s="21">
        <f>'Ano 1 - Pós-AEE'!C22</f>
        <v>200.8</v>
      </c>
      <c r="D31" s="21">
        <f t="shared" si="0"/>
        <v>200.8</v>
      </c>
      <c r="E31" s="21">
        <f>'Ano 1 - Pós-AEE'!K22</f>
        <v>254.79453957338839</v>
      </c>
      <c r="F31" s="21">
        <f t="shared" si="1"/>
        <v>0</v>
      </c>
      <c r="G31" s="21">
        <f t="shared" si="2"/>
        <v>254.79453957338839</v>
      </c>
      <c r="H31" s="21">
        <f t="shared" si="3"/>
        <v>53.99453957338838</v>
      </c>
      <c r="I31" s="183">
        <f t="shared" si="4"/>
        <v>53.99453957338838</v>
      </c>
    </row>
    <row r="32" spans="2:9" x14ac:dyDescent="0.3">
      <c r="B32" s="180">
        <f>'Ano 1 - Pós-AEE'!B23</f>
        <v>18</v>
      </c>
      <c r="C32" s="21">
        <f>'Ano 1 - Pós-AEE'!C23</f>
        <v>197.8</v>
      </c>
      <c r="D32" s="21">
        <f t="shared" si="0"/>
        <v>197.8</v>
      </c>
      <c r="E32" s="21">
        <f>'Ano 1 - Pós-AEE'!K23</f>
        <v>247.86865522856513</v>
      </c>
      <c r="F32" s="21">
        <f t="shared" si="1"/>
        <v>0</v>
      </c>
      <c r="G32" s="21">
        <f t="shared" si="2"/>
        <v>247.86865522856513</v>
      </c>
      <c r="H32" s="21">
        <f t="shared" si="3"/>
        <v>50.06865522856512</v>
      </c>
      <c r="I32" s="183">
        <f t="shared" si="4"/>
        <v>50.06865522856512</v>
      </c>
    </row>
    <row r="33" spans="2:9" x14ac:dyDescent="0.3">
      <c r="B33" s="180">
        <f>'Ano 1 - Pós-AEE'!B24</f>
        <v>19</v>
      </c>
      <c r="C33" s="21">
        <f>'Ano 1 - Pós-AEE'!C24</f>
        <v>201.9</v>
      </c>
      <c r="D33" s="21">
        <f t="shared" si="0"/>
        <v>201.9</v>
      </c>
      <c r="E33" s="21">
        <f>'Ano 1 - Pós-AEE'!K24</f>
        <v>256.00550544288416</v>
      </c>
      <c r="F33" s="21">
        <f t="shared" si="1"/>
        <v>0</v>
      </c>
      <c r="G33" s="21">
        <f t="shared" si="2"/>
        <v>256.00550544288416</v>
      </c>
      <c r="H33" s="21">
        <f t="shared" si="3"/>
        <v>54.105505442884152</v>
      </c>
      <c r="I33" s="183">
        <f t="shared" si="4"/>
        <v>54.105505442884152</v>
      </c>
    </row>
    <row r="34" spans="2:9" x14ac:dyDescent="0.3">
      <c r="B34" s="180">
        <f>'Ano 1 - Pós-AEE'!B25</f>
        <v>20</v>
      </c>
      <c r="C34" s="21">
        <f>'Ano 1 - Pós-AEE'!C25</f>
        <v>195.6</v>
      </c>
      <c r="D34" s="21">
        <f t="shared" si="0"/>
        <v>195.6</v>
      </c>
      <c r="E34" s="21">
        <f>'Ano 1 - Pós-AEE'!K25</f>
        <v>247.33549646019708</v>
      </c>
      <c r="F34" s="21">
        <f t="shared" si="1"/>
        <v>0</v>
      </c>
      <c r="G34" s="21">
        <f t="shared" si="2"/>
        <v>247.33549646019708</v>
      </c>
      <c r="H34" s="21">
        <f t="shared" si="3"/>
        <v>51.735496460197083</v>
      </c>
      <c r="I34" s="183">
        <f t="shared" si="4"/>
        <v>51.735496460197083</v>
      </c>
    </row>
    <row r="35" spans="2:9" x14ac:dyDescent="0.3">
      <c r="B35" s="180">
        <f>'Ano 1 - Pós-AEE'!B26</f>
        <v>21</v>
      </c>
      <c r="C35" s="21">
        <f>'Ano 1 - Pós-AEE'!C26</f>
        <v>201.8</v>
      </c>
      <c r="D35" s="21">
        <f t="shared" si="0"/>
        <v>201.8</v>
      </c>
      <c r="E35" s="21">
        <f>'Ano 1 - Pós-AEE'!K26</f>
        <v>252.83227231730359</v>
      </c>
      <c r="F35" s="21">
        <f t="shared" si="1"/>
        <v>0</v>
      </c>
      <c r="G35" s="21">
        <f t="shared" si="2"/>
        <v>252.83227231730359</v>
      </c>
      <c r="H35" s="21">
        <f t="shared" si="3"/>
        <v>51.03227231730358</v>
      </c>
      <c r="I35" s="183">
        <f t="shared" si="4"/>
        <v>51.03227231730358</v>
      </c>
    </row>
    <row r="36" spans="2:9" x14ac:dyDescent="0.3">
      <c r="B36" s="180">
        <f>'Ano 1 - Pós-AEE'!B27</f>
        <v>22</v>
      </c>
      <c r="C36" s="21">
        <f>'Ano 1 - Pós-AEE'!C27</f>
        <v>192.1</v>
      </c>
      <c r="D36" s="21">
        <f t="shared" si="0"/>
        <v>192.1</v>
      </c>
      <c r="E36" s="21">
        <f>'Ano 1 - Pós-AEE'!K27</f>
        <v>245.08419909549363</v>
      </c>
      <c r="F36" s="21">
        <f t="shared" si="1"/>
        <v>0</v>
      </c>
      <c r="G36" s="21">
        <f t="shared" si="2"/>
        <v>245.08419909549363</v>
      </c>
      <c r="H36" s="21">
        <f t="shared" si="3"/>
        <v>52.984199095493636</v>
      </c>
      <c r="I36" s="183">
        <f t="shared" si="4"/>
        <v>52.984199095493636</v>
      </c>
    </row>
    <row r="37" spans="2:9" x14ac:dyDescent="0.3">
      <c r="B37" s="180">
        <f>'Ano 1 - Pós-AEE'!B28</f>
        <v>23</v>
      </c>
      <c r="C37" s="21">
        <f>'Ano 1 - Pós-AEE'!C28</f>
        <v>195</v>
      </c>
      <c r="D37" s="21">
        <f t="shared" si="0"/>
        <v>195</v>
      </c>
      <c r="E37" s="21">
        <f>'Ano 1 - Pós-AEE'!K28</f>
        <v>247.49623703217495</v>
      </c>
      <c r="F37" s="21">
        <f t="shared" si="1"/>
        <v>0</v>
      </c>
      <c r="G37" s="21">
        <f t="shared" si="2"/>
        <v>247.49623703217495</v>
      </c>
      <c r="H37" s="21">
        <f t="shared" si="3"/>
        <v>52.496237032174946</v>
      </c>
      <c r="I37" s="183">
        <f t="shared" si="4"/>
        <v>52.496237032174946</v>
      </c>
    </row>
    <row r="38" spans="2:9" x14ac:dyDescent="0.3">
      <c r="B38" s="180">
        <f>'Ano 1 - Pós-AEE'!B29</f>
        <v>24</v>
      </c>
      <c r="C38" s="21">
        <f>'Ano 1 - Pós-AEE'!C29</f>
        <v>197.5</v>
      </c>
      <c r="D38" s="21">
        <f t="shared" si="0"/>
        <v>197.5</v>
      </c>
      <c r="E38" s="21">
        <f>'Ano 1 - Pós-AEE'!K29</f>
        <v>252.08759352363813</v>
      </c>
      <c r="F38" s="21">
        <f t="shared" si="1"/>
        <v>0</v>
      </c>
      <c r="G38" s="21">
        <f t="shared" si="2"/>
        <v>252.08759352363813</v>
      </c>
      <c r="H38" s="21">
        <f t="shared" si="3"/>
        <v>54.587593523638134</v>
      </c>
      <c r="I38" s="183">
        <f t="shared" si="4"/>
        <v>54.587593523638134</v>
      </c>
    </row>
    <row r="39" spans="2:9" x14ac:dyDescent="0.3">
      <c r="B39" s="180">
        <f>'Ano 1 - Pós-AEE'!B30</f>
        <v>25</v>
      </c>
      <c r="C39" s="21">
        <f>'Ano 1 - Pós-AEE'!C30</f>
        <v>184.4</v>
      </c>
      <c r="D39" s="21">
        <f t="shared" si="0"/>
        <v>184.4</v>
      </c>
      <c r="E39" s="21">
        <f>'Ano 1 - Pós-AEE'!K30</f>
        <v>234.79658552510352</v>
      </c>
      <c r="F39" s="21">
        <f t="shared" si="1"/>
        <v>0</v>
      </c>
      <c r="G39" s="21">
        <f t="shared" si="2"/>
        <v>234.79658552510352</v>
      </c>
      <c r="H39" s="21">
        <f t="shared" si="3"/>
        <v>50.396585525103518</v>
      </c>
      <c r="I39" s="183">
        <f t="shared" si="4"/>
        <v>50.396585525103518</v>
      </c>
    </row>
    <row r="40" spans="2:9" x14ac:dyDescent="0.3">
      <c r="B40" s="180">
        <f>'Ano 1 - Pós-AEE'!B31</f>
        <v>26</v>
      </c>
      <c r="C40" s="21">
        <f>'Ano 1 - Pós-AEE'!C31</f>
        <v>188.6</v>
      </c>
      <c r="D40" s="21">
        <f t="shared" si="0"/>
        <v>188.6</v>
      </c>
      <c r="E40" s="21">
        <f>'Ano 1 - Pós-AEE'!K31</f>
        <v>239.75557352803048</v>
      </c>
      <c r="F40" s="21">
        <f t="shared" si="1"/>
        <v>0</v>
      </c>
      <c r="G40" s="21">
        <f t="shared" si="2"/>
        <v>239.75557352803048</v>
      </c>
      <c r="H40" s="21">
        <f t="shared" si="3"/>
        <v>51.155573528030487</v>
      </c>
      <c r="I40" s="183">
        <f t="shared" si="4"/>
        <v>51.155573528030487</v>
      </c>
    </row>
    <row r="41" spans="2:9" x14ac:dyDescent="0.3">
      <c r="B41" s="180">
        <f>'Ano 1 - Pós-AEE'!B32</f>
        <v>27</v>
      </c>
      <c r="C41" s="21">
        <f>'Ano 1 - Pós-AEE'!C32</f>
        <v>196.9</v>
      </c>
      <c r="D41" s="21">
        <f t="shared" si="0"/>
        <v>196.9</v>
      </c>
      <c r="E41" s="21">
        <f>'Ano 1 - Pós-AEE'!K32</f>
        <v>249.01271941521475</v>
      </c>
      <c r="F41" s="21">
        <f t="shared" si="1"/>
        <v>0</v>
      </c>
      <c r="G41" s="21">
        <f t="shared" si="2"/>
        <v>249.01271941521475</v>
      </c>
      <c r="H41" s="21">
        <f t="shared" si="3"/>
        <v>52.112719415214741</v>
      </c>
      <c r="I41" s="183">
        <f t="shared" si="4"/>
        <v>52.112719415214741</v>
      </c>
    </row>
    <row r="42" spans="2:9" x14ac:dyDescent="0.3">
      <c r="B42" s="180">
        <f>'Ano 1 - Pós-AEE'!B33</f>
        <v>28</v>
      </c>
      <c r="C42" s="21">
        <f>'Ano 1 - Pós-AEE'!C33</f>
        <v>192</v>
      </c>
      <c r="D42" s="21">
        <f t="shared" si="0"/>
        <v>192</v>
      </c>
      <c r="E42" s="21">
        <f>'Ano 1 - Pós-AEE'!K33</f>
        <v>245.64139293454684</v>
      </c>
      <c r="F42" s="21">
        <f t="shared" si="1"/>
        <v>0</v>
      </c>
      <c r="G42" s="21">
        <f t="shared" si="2"/>
        <v>245.64139293454684</v>
      </c>
      <c r="H42" s="21">
        <f t="shared" si="3"/>
        <v>53.641392934546843</v>
      </c>
      <c r="I42" s="183">
        <f t="shared" si="4"/>
        <v>53.641392934546843</v>
      </c>
    </row>
    <row r="43" spans="2:9" x14ac:dyDescent="0.3">
      <c r="B43" s="180">
        <f>'Ano 1 - Pós-AEE'!B34</f>
        <v>29</v>
      </c>
      <c r="C43" s="21">
        <f>'Ano 1 - Pós-AEE'!C34</f>
        <v>202.5</v>
      </c>
      <c r="D43" s="21">
        <f t="shared" si="0"/>
        <v>202.5</v>
      </c>
      <c r="E43" s="21">
        <f>'Ano 1 - Pós-AEE'!K34</f>
        <v>253.17044567121229</v>
      </c>
      <c r="F43" s="21">
        <f t="shared" si="1"/>
        <v>0</v>
      </c>
      <c r="G43" s="21">
        <f t="shared" si="2"/>
        <v>253.17044567121229</v>
      </c>
      <c r="H43" s="21">
        <f t="shared" si="3"/>
        <v>50.670445671212292</v>
      </c>
      <c r="I43" s="183">
        <f t="shared" si="4"/>
        <v>50.670445671212292</v>
      </c>
    </row>
    <row r="44" spans="2:9" x14ac:dyDescent="0.3">
      <c r="B44" s="180">
        <f>'Ano 1 - Pós-AEE'!B35</f>
        <v>30</v>
      </c>
      <c r="C44" s="21">
        <f>'Ano 1 - Pós-AEE'!C35</f>
        <v>191.3</v>
      </c>
      <c r="D44" s="21">
        <f t="shared" si="0"/>
        <v>206.3</v>
      </c>
      <c r="E44" s="21">
        <f>'Ano 1 - Pós-AEE'!K35</f>
        <v>245.67772769596593</v>
      </c>
      <c r="F44" s="21">
        <f t="shared" si="1"/>
        <v>15</v>
      </c>
      <c r="G44" s="21">
        <f t="shared" si="2"/>
        <v>260.67772769596593</v>
      </c>
      <c r="H44" s="21">
        <f t="shared" si="3"/>
        <v>39.377727695965916</v>
      </c>
      <c r="I44" s="183">
        <f t="shared" si="4"/>
        <v>54.377727695965916</v>
      </c>
    </row>
    <row r="45" spans="2:9" x14ac:dyDescent="0.3">
      <c r="B45" s="180">
        <f>'Ano 1 - Pós-AEE'!B36</f>
        <v>31</v>
      </c>
      <c r="C45" s="21">
        <f>'Ano 1 - Pós-AEE'!C36</f>
        <v>201.3</v>
      </c>
      <c r="D45" s="21">
        <f t="shared" si="0"/>
        <v>216.3</v>
      </c>
      <c r="E45" s="21">
        <f>'Ano 1 - Pós-AEE'!K36</f>
        <v>256.74436131432856</v>
      </c>
      <c r="F45" s="21">
        <f t="shared" si="1"/>
        <v>15</v>
      </c>
      <c r="G45" s="21">
        <f t="shared" si="2"/>
        <v>271.74436131432856</v>
      </c>
      <c r="H45" s="21">
        <f t="shared" si="3"/>
        <v>40.444361314328546</v>
      </c>
      <c r="I45" s="183">
        <f t="shared" si="4"/>
        <v>55.444361314328546</v>
      </c>
    </row>
    <row r="46" spans="2:9" x14ac:dyDescent="0.3">
      <c r="B46" s="180">
        <f>'Ano 1 - Pós-AEE'!B37</f>
        <v>32</v>
      </c>
      <c r="C46" s="21">
        <f>'Ano 1 - Pós-AEE'!C37</f>
        <v>199</v>
      </c>
      <c r="D46" s="21">
        <f t="shared" si="0"/>
        <v>214</v>
      </c>
      <c r="E46" s="21">
        <f>'Ano 1 - Pós-AEE'!K37</f>
        <v>255.01471702831773</v>
      </c>
      <c r="F46" s="21">
        <f t="shared" si="1"/>
        <v>15</v>
      </c>
      <c r="G46" s="21">
        <f t="shared" si="2"/>
        <v>270.0147170283177</v>
      </c>
      <c r="H46" s="21">
        <f t="shared" si="3"/>
        <v>41.014717028317733</v>
      </c>
      <c r="I46" s="183">
        <f t="shared" si="4"/>
        <v>56.014717028317705</v>
      </c>
    </row>
    <row r="47" spans="2:9" x14ac:dyDescent="0.3">
      <c r="B47" s="180">
        <f>'Ano 1 - Pós-AEE'!B38</f>
        <v>33</v>
      </c>
      <c r="C47" s="21">
        <f>'Ano 1 - Pós-AEE'!C38</f>
        <v>207</v>
      </c>
      <c r="D47" s="21">
        <f t="shared" ref="D47:D78" si="5">C47+IF(B47&gt;=$C$6,$C$7,0)</f>
        <v>222</v>
      </c>
      <c r="E47" s="21">
        <f>'Ano 1 - Pós-AEE'!K38</f>
        <v>258.47396306407063</v>
      </c>
      <c r="F47" s="21">
        <f t="shared" ref="F47:F66" si="6">IF(B47&gt;=$C$6,$C$7,0)</f>
        <v>15</v>
      </c>
      <c r="G47" s="21">
        <f t="shared" ref="G47:G78" si="7">E47+F47</f>
        <v>273.47396306407063</v>
      </c>
      <c r="H47" s="21">
        <f t="shared" ref="H47:H66" si="8">E47-D47</f>
        <v>36.473963064070631</v>
      </c>
      <c r="I47" s="183">
        <f t="shared" ref="I47:I66" si="9">G47-D47</f>
        <v>51.473963064070631</v>
      </c>
    </row>
    <row r="48" spans="2:9" x14ac:dyDescent="0.3">
      <c r="B48" s="180">
        <f>'Ano 1 - Pós-AEE'!B39</f>
        <v>34</v>
      </c>
      <c r="C48" s="21">
        <f>'Ano 1 - Pós-AEE'!C39</f>
        <v>204.3</v>
      </c>
      <c r="D48" s="21">
        <f t="shared" si="5"/>
        <v>219.3</v>
      </c>
      <c r="E48" s="21">
        <f>'Ano 1 - Pós-AEE'!K39</f>
        <v>259.88028419306852</v>
      </c>
      <c r="F48" s="21">
        <f t="shared" si="6"/>
        <v>15</v>
      </c>
      <c r="G48" s="21">
        <f t="shared" si="7"/>
        <v>274.88028419306852</v>
      </c>
      <c r="H48" s="21">
        <f t="shared" si="8"/>
        <v>40.580284193068508</v>
      </c>
      <c r="I48" s="183">
        <f t="shared" si="9"/>
        <v>55.580284193068508</v>
      </c>
    </row>
    <row r="49" spans="2:9" x14ac:dyDescent="0.3">
      <c r="B49" s="180">
        <f>'Ano 1 - Pós-AEE'!B40</f>
        <v>35</v>
      </c>
      <c r="C49" s="21">
        <f>'Ano 1 - Pós-AEE'!C40</f>
        <v>203.9</v>
      </c>
      <c r="D49" s="21">
        <f t="shared" si="5"/>
        <v>218.9</v>
      </c>
      <c r="E49" s="21">
        <f>'Ano 1 - Pós-AEE'!K40</f>
        <v>255.27038136805095</v>
      </c>
      <c r="F49" s="21">
        <f t="shared" si="6"/>
        <v>15</v>
      </c>
      <c r="G49" s="21">
        <f t="shared" si="7"/>
        <v>270.27038136805095</v>
      </c>
      <c r="H49" s="21">
        <f t="shared" si="8"/>
        <v>36.370381368050943</v>
      </c>
      <c r="I49" s="183">
        <f t="shared" si="9"/>
        <v>51.370381368050943</v>
      </c>
    </row>
    <row r="50" spans="2:9" x14ac:dyDescent="0.3">
      <c r="B50" s="180">
        <f>'Ano 1 - Pós-AEE'!B41</f>
        <v>36</v>
      </c>
      <c r="C50" s="21">
        <f>'Ano 1 - Pós-AEE'!C41</f>
        <v>193.1</v>
      </c>
      <c r="D50" s="21">
        <f t="shared" si="5"/>
        <v>208.1</v>
      </c>
      <c r="E50" s="21">
        <f>'Ano 1 - Pós-AEE'!K41</f>
        <v>250.10947059492756</v>
      </c>
      <c r="F50" s="21">
        <f t="shared" si="6"/>
        <v>15</v>
      </c>
      <c r="G50" s="21">
        <f t="shared" si="7"/>
        <v>265.10947059492753</v>
      </c>
      <c r="H50" s="21">
        <f t="shared" si="8"/>
        <v>42.009470594927564</v>
      </c>
      <c r="I50" s="183">
        <f t="shared" si="9"/>
        <v>57.009470594927535</v>
      </c>
    </row>
    <row r="51" spans="2:9" x14ac:dyDescent="0.3">
      <c r="B51" s="180">
        <f>'Ano 1 - Pós-AEE'!B42</f>
        <v>37</v>
      </c>
      <c r="C51" s="21">
        <f>'Ano 1 - Pós-AEE'!C42</f>
        <v>195.8</v>
      </c>
      <c r="D51" s="21">
        <f t="shared" si="5"/>
        <v>210.8</v>
      </c>
      <c r="E51" s="21">
        <f>'Ano 1 - Pós-AEE'!K42</f>
        <v>247.0680473279273</v>
      </c>
      <c r="F51" s="21">
        <f t="shared" si="6"/>
        <v>15</v>
      </c>
      <c r="G51" s="21">
        <f t="shared" si="7"/>
        <v>262.06804732792727</v>
      </c>
      <c r="H51" s="21">
        <f t="shared" si="8"/>
        <v>36.268047327927292</v>
      </c>
      <c r="I51" s="183">
        <f t="shared" si="9"/>
        <v>51.268047327927263</v>
      </c>
    </row>
    <row r="52" spans="2:9" x14ac:dyDescent="0.3">
      <c r="B52" s="180">
        <f>'Ano 1 - Pós-AEE'!B43</f>
        <v>38</v>
      </c>
      <c r="C52" s="21">
        <f>'Ano 1 - Pós-AEE'!C43</f>
        <v>205.9</v>
      </c>
      <c r="D52" s="21">
        <f t="shared" si="5"/>
        <v>220.9</v>
      </c>
      <c r="E52" s="21">
        <f>'Ano 1 - Pós-AEE'!K43</f>
        <v>259.13907751542973</v>
      </c>
      <c r="F52" s="21">
        <f t="shared" si="6"/>
        <v>15</v>
      </c>
      <c r="G52" s="21">
        <f t="shared" si="7"/>
        <v>274.13907751542973</v>
      </c>
      <c r="H52" s="21">
        <f t="shared" si="8"/>
        <v>38.239077515429727</v>
      </c>
      <c r="I52" s="183">
        <f t="shared" si="9"/>
        <v>53.239077515429727</v>
      </c>
    </row>
    <row r="53" spans="2:9" x14ac:dyDescent="0.3">
      <c r="B53" s="180">
        <f>'Ano 1 - Pós-AEE'!B44</f>
        <v>39</v>
      </c>
      <c r="C53" s="21">
        <f>'Ano 1 - Pós-AEE'!C44</f>
        <v>204.7</v>
      </c>
      <c r="D53" s="21">
        <f t="shared" si="5"/>
        <v>219.7</v>
      </c>
      <c r="E53" s="21">
        <f>'Ano 1 - Pós-AEE'!K44</f>
        <v>260.20650381603781</v>
      </c>
      <c r="F53" s="21">
        <f t="shared" si="6"/>
        <v>15</v>
      </c>
      <c r="G53" s="21">
        <f t="shared" si="7"/>
        <v>275.20650381603781</v>
      </c>
      <c r="H53" s="21">
        <f t="shared" si="8"/>
        <v>40.506503816037821</v>
      </c>
      <c r="I53" s="183">
        <f t="shared" si="9"/>
        <v>55.506503816037821</v>
      </c>
    </row>
    <row r="54" spans="2:9" x14ac:dyDescent="0.3">
      <c r="B54" s="180">
        <f>'Ano 1 - Pós-AEE'!B45</f>
        <v>40</v>
      </c>
      <c r="C54" s="21">
        <f>'Ano 1 - Pós-AEE'!C45</f>
        <v>204.8</v>
      </c>
      <c r="D54" s="21">
        <f t="shared" si="5"/>
        <v>219.8</v>
      </c>
      <c r="E54" s="21">
        <f>'Ano 1 - Pós-AEE'!K45</f>
        <v>256.33906225694176</v>
      </c>
      <c r="F54" s="21">
        <f t="shared" si="6"/>
        <v>15</v>
      </c>
      <c r="G54" s="21">
        <f t="shared" si="7"/>
        <v>271.33906225694176</v>
      </c>
      <c r="H54" s="21">
        <f t="shared" si="8"/>
        <v>36.539062256941747</v>
      </c>
      <c r="I54" s="183">
        <f t="shared" si="9"/>
        <v>51.539062256941747</v>
      </c>
    </row>
    <row r="55" spans="2:9" x14ac:dyDescent="0.3">
      <c r="B55" s="180">
        <f>'Ano 1 - Pós-AEE'!B46</f>
        <v>41</v>
      </c>
      <c r="C55" s="21">
        <f>'Ano 1 - Pós-AEE'!C46</f>
        <v>202</v>
      </c>
      <c r="D55" s="21">
        <f t="shared" si="5"/>
        <v>217</v>
      </c>
      <c r="E55" s="21">
        <f>'Ano 1 - Pós-AEE'!K46</f>
        <v>258.67388665751105</v>
      </c>
      <c r="F55" s="21">
        <f t="shared" si="6"/>
        <v>15</v>
      </c>
      <c r="G55" s="21">
        <f t="shared" si="7"/>
        <v>273.67388665751105</v>
      </c>
      <c r="H55" s="21">
        <f t="shared" si="8"/>
        <v>41.673886657511048</v>
      </c>
      <c r="I55" s="183">
        <f t="shared" si="9"/>
        <v>56.673886657511048</v>
      </c>
    </row>
    <row r="56" spans="2:9" x14ac:dyDescent="0.3">
      <c r="B56" s="180">
        <f>'Ano 1 - Pós-AEE'!B47</f>
        <v>42</v>
      </c>
      <c r="C56" s="21">
        <f>'Ano 1 - Pós-AEE'!C47</f>
        <v>211.5</v>
      </c>
      <c r="D56" s="21">
        <f t="shared" si="5"/>
        <v>226.5</v>
      </c>
      <c r="E56" s="21">
        <f>'Ano 1 - Pós-AEE'!K47</f>
        <v>263.7318093276657</v>
      </c>
      <c r="F56" s="21">
        <f t="shared" si="6"/>
        <v>15</v>
      </c>
      <c r="G56" s="21">
        <f t="shared" si="7"/>
        <v>278.7318093276657</v>
      </c>
      <c r="H56" s="21">
        <f t="shared" si="8"/>
        <v>37.231809327665701</v>
      </c>
      <c r="I56" s="183">
        <f t="shared" si="9"/>
        <v>52.231809327665701</v>
      </c>
    </row>
    <row r="57" spans="2:9" x14ac:dyDescent="0.3">
      <c r="B57" s="180">
        <f>'Ano 1 - Pós-AEE'!B48</f>
        <v>43</v>
      </c>
      <c r="C57" s="21">
        <f>'Ano 1 - Pós-AEE'!C48</f>
        <v>217.9</v>
      </c>
      <c r="D57" s="21">
        <f t="shared" si="5"/>
        <v>232.9</v>
      </c>
      <c r="E57" s="21">
        <f>'Ano 1 - Pós-AEE'!K48</f>
        <v>269.86833745058613</v>
      </c>
      <c r="F57" s="21">
        <f t="shared" si="6"/>
        <v>15</v>
      </c>
      <c r="G57" s="21">
        <f t="shared" si="7"/>
        <v>284.86833745058613</v>
      </c>
      <c r="H57" s="21">
        <f t="shared" si="8"/>
        <v>36.96833745058612</v>
      </c>
      <c r="I57" s="183">
        <f t="shared" si="9"/>
        <v>51.96833745058612</v>
      </c>
    </row>
    <row r="58" spans="2:9" x14ac:dyDescent="0.3">
      <c r="B58" s="180">
        <f>'Ano 1 - Pós-AEE'!B49</f>
        <v>44</v>
      </c>
      <c r="C58" s="21">
        <f>'Ano 1 - Pós-AEE'!C49</f>
        <v>201.7</v>
      </c>
      <c r="D58" s="21">
        <f t="shared" si="5"/>
        <v>216.7</v>
      </c>
      <c r="E58" s="21">
        <f>'Ano 1 - Pós-AEE'!K49</f>
        <v>257.51991612259081</v>
      </c>
      <c r="F58" s="21">
        <f t="shared" si="6"/>
        <v>15</v>
      </c>
      <c r="G58" s="21">
        <f t="shared" si="7"/>
        <v>272.51991612259081</v>
      </c>
      <c r="H58" s="21">
        <f t="shared" si="8"/>
        <v>40.819916122590826</v>
      </c>
      <c r="I58" s="183">
        <f t="shared" si="9"/>
        <v>55.819916122590826</v>
      </c>
    </row>
    <row r="59" spans="2:9" x14ac:dyDescent="0.3">
      <c r="B59" s="180">
        <f>'Ano 1 - Pós-AEE'!B50</f>
        <v>45</v>
      </c>
      <c r="C59" s="21">
        <f>'Ano 1 - Pós-AEE'!C50</f>
        <v>210</v>
      </c>
      <c r="D59" s="21">
        <f t="shared" si="5"/>
        <v>225</v>
      </c>
      <c r="E59" s="21">
        <f>'Ano 1 - Pós-AEE'!K50</f>
        <v>268.6687739826238</v>
      </c>
      <c r="F59" s="21">
        <f t="shared" si="6"/>
        <v>15</v>
      </c>
      <c r="G59" s="21">
        <f t="shared" si="7"/>
        <v>283.6687739826238</v>
      </c>
      <c r="H59" s="21">
        <f t="shared" si="8"/>
        <v>43.668773982623804</v>
      </c>
      <c r="I59" s="183">
        <f t="shared" si="9"/>
        <v>58.668773982623804</v>
      </c>
    </row>
    <row r="60" spans="2:9" x14ac:dyDescent="0.3">
      <c r="B60" s="180">
        <f>'Ano 1 - Pós-AEE'!B51</f>
        <v>46</v>
      </c>
      <c r="C60" s="21">
        <f>'Ano 1 - Pós-AEE'!C51</f>
        <v>212.4</v>
      </c>
      <c r="D60" s="21">
        <f t="shared" si="5"/>
        <v>227.4</v>
      </c>
      <c r="E60" s="21">
        <f>'Ano 1 - Pós-AEE'!K51</f>
        <v>264.8728206559166</v>
      </c>
      <c r="F60" s="21">
        <f t="shared" si="6"/>
        <v>15</v>
      </c>
      <c r="G60" s="21">
        <f t="shared" si="7"/>
        <v>279.8728206559166</v>
      </c>
      <c r="H60" s="21">
        <f t="shared" si="8"/>
        <v>37.472820655916593</v>
      </c>
      <c r="I60" s="183">
        <f t="shared" si="9"/>
        <v>52.472820655916593</v>
      </c>
    </row>
    <row r="61" spans="2:9" x14ac:dyDescent="0.3">
      <c r="B61" s="180">
        <f>'Ano 1 - Pós-AEE'!B52</f>
        <v>47</v>
      </c>
      <c r="C61" s="21">
        <f>'Ano 1 - Pós-AEE'!C52</f>
        <v>208.2</v>
      </c>
      <c r="D61" s="21">
        <f t="shared" si="5"/>
        <v>223.2</v>
      </c>
      <c r="E61" s="21">
        <f>'Ano 1 - Pós-AEE'!K52</f>
        <v>258.71107617186169</v>
      </c>
      <c r="F61" s="21">
        <f t="shared" si="6"/>
        <v>15</v>
      </c>
      <c r="G61" s="21">
        <f t="shared" si="7"/>
        <v>273.71107617186169</v>
      </c>
      <c r="H61" s="21">
        <f t="shared" si="8"/>
        <v>35.511076171861703</v>
      </c>
      <c r="I61" s="183">
        <f t="shared" si="9"/>
        <v>50.511076171861703</v>
      </c>
    </row>
    <row r="62" spans="2:9" x14ac:dyDescent="0.3">
      <c r="B62" s="180">
        <f>'Ano 1 - Pós-AEE'!B53</f>
        <v>48</v>
      </c>
      <c r="C62" s="21">
        <f>'Ano 1 - Pós-AEE'!C53</f>
        <v>206.6</v>
      </c>
      <c r="D62" s="21">
        <f t="shared" si="5"/>
        <v>221.6</v>
      </c>
      <c r="E62" s="21">
        <f>'Ano 1 - Pós-AEE'!K53</f>
        <v>264.23241454381099</v>
      </c>
      <c r="F62" s="21">
        <f t="shared" si="6"/>
        <v>15</v>
      </c>
      <c r="G62" s="21">
        <f t="shared" si="7"/>
        <v>279.23241454381099</v>
      </c>
      <c r="H62" s="21">
        <f t="shared" si="8"/>
        <v>42.632414543810995</v>
      </c>
      <c r="I62" s="183">
        <f t="shared" si="9"/>
        <v>57.632414543810995</v>
      </c>
    </row>
    <row r="63" spans="2:9" x14ac:dyDescent="0.3">
      <c r="B63" s="180">
        <f>'Ano 1 - Pós-AEE'!B54</f>
        <v>49</v>
      </c>
      <c r="C63" s="21">
        <f>'Ano 1 - Pós-AEE'!C54</f>
        <v>202.5</v>
      </c>
      <c r="D63" s="21">
        <f t="shared" si="5"/>
        <v>217.5</v>
      </c>
      <c r="E63" s="21">
        <f>'Ano 1 - Pós-AEE'!K54</f>
        <v>258.16094042103555</v>
      </c>
      <c r="F63" s="21">
        <f t="shared" si="6"/>
        <v>15</v>
      </c>
      <c r="G63" s="21">
        <f t="shared" si="7"/>
        <v>273.16094042103555</v>
      </c>
      <c r="H63" s="21">
        <f t="shared" si="8"/>
        <v>40.660940421035548</v>
      </c>
      <c r="I63" s="183">
        <f t="shared" si="9"/>
        <v>55.660940421035548</v>
      </c>
    </row>
    <row r="64" spans="2:9" x14ac:dyDescent="0.3">
      <c r="B64" s="180">
        <f>'Ano 1 - Pós-AEE'!B55</f>
        <v>50</v>
      </c>
      <c r="C64" s="21">
        <f>'Ano 1 - Pós-AEE'!C55</f>
        <v>213.4</v>
      </c>
      <c r="D64" s="21">
        <f t="shared" si="5"/>
        <v>228.4</v>
      </c>
      <c r="E64" s="21">
        <f>'Ano 1 - Pós-AEE'!K55</f>
        <v>272.40298215645396</v>
      </c>
      <c r="F64" s="21">
        <f t="shared" si="6"/>
        <v>15</v>
      </c>
      <c r="G64" s="21">
        <f t="shared" si="7"/>
        <v>287.40298215645396</v>
      </c>
      <c r="H64" s="21">
        <f t="shared" si="8"/>
        <v>44.002982156453953</v>
      </c>
      <c r="I64" s="183">
        <f t="shared" si="9"/>
        <v>59.002982156453953</v>
      </c>
    </row>
    <row r="65" spans="2:9" x14ac:dyDescent="0.3">
      <c r="B65" s="180">
        <f>'Ano 1 - Pós-AEE'!B56</f>
        <v>51</v>
      </c>
      <c r="C65" s="21">
        <f>'Ano 1 - Pós-AEE'!C56</f>
        <v>216.4</v>
      </c>
      <c r="D65" s="21">
        <f t="shared" si="5"/>
        <v>231.4</v>
      </c>
      <c r="E65" s="21">
        <f>'Ano 1 - Pós-AEE'!K56</f>
        <v>280.72189423851535</v>
      </c>
      <c r="F65" s="21">
        <f t="shared" si="6"/>
        <v>15</v>
      </c>
      <c r="G65" s="21">
        <f t="shared" si="7"/>
        <v>295.72189423851535</v>
      </c>
      <c r="H65" s="21">
        <f t="shared" si="8"/>
        <v>49.321894238515341</v>
      </c>
      <c r="I65" s="183">
        <f t="shared" si="9"/>
        <v>64.321894238515341</v>
      </c>
    </row>
    <row r="66" spans="2:9" x14ac:dyDescent="0.3">
      <c r="B66" s="181">
        <f>'Ano 1 - Pós-AEE'!B57</f>
        <v>52</v>
      </c>
      <c r="C66" s="143">
        <f>'Ano 1 - Pós-AEE'!C57</f>
        <v>223</v>
      </c>
      <c r="D66" s="143">
        <f t="shared" si="5"/>
        <v>238</v>
      </c>
      <c r="E66" s="143">
        <f>'Ano 1 - Pós-AEE'!K57</f>
        <v>287.77709181131382</v>
      </c>
      <c r="F66" s="143">
        <f t="shared" si="6"/>
        <v>15</v>
      </c>
      <c r="G66" s="143">
        <f t="shared" si="7"/>
        <v>302.77709181131382</v>
      </c>
      <c r="H66" s="143">
        <f t="shared" si="8"/>
        <v>49.777091811313824</v>
      </c>
      <c r="I66" s="184">
        <f t="shared" si="9"/>
        <v>64.777091811313824</v>
      </c>
    </row>
    <row r="67" spans="2:9" ht="15" customHeight="1" thickBot="1" x14ac:dyDescent="0.35">
      <c r="B67" s="187" t="s">
        <v>223</v>
      </c>
      <c r="C67" s="188">
        <f t="shared" ref="C67:I67" si="10">SUM(C15:C66)</f>
        <v>10735.800000000001</v>
      </c>
      <c r="D67" s="188">
        <f t="shared" si="10"/>
        <v>11080.800000000001</v>
      </c>
      <c r="E67" s="188">
        <f t="shared" si="10"/>
        <v>13619.208695950732</v>
      </c>
      <c r="F67" s="188">
        <f t="shared" si="10"/>
        <v>345</v>
      </c>
      <c r="G67" s="188">
        <f t="shared" si="10"/>
        <v>13964.208695950732</v>
      </c>
      <c r="H67" s="188">
        <f t="shared" si="10"/>
        <v>2538.4086959507326</v>
      </c>
      <c r="I67" s="189">
        <f t="shared" si="10"/>
        <v>2883.4086959507326</v>
      </c>
    </row>
  </sheetData>
  <mergeCells count="10">
    <mergeCell ref="B3:I3"/>
    <mergeCell ref="E9:F9"/>
    <mergeCell ref="E8:F8"/>
    <mergeCell ref="B12:I12"/>
    <mergeCell ref="B13:I13"/>
    <mergeCell ref="E6:F6"/>
    <mergeCell ref="E7:F7"/>
    <mergeCell ref="E5:G5"/>
    <mergeCell ref="B5:C5"/>
    <mergeCell ref="E10:F10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5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7" sqref="H17"/>
    </sheetView>
  </sheetViews>
  <sheetFormatPr defaultColWidth="8.6640625" defaultRowHeight="14.4" x14ac:dyDescent="0.3"/>
  <cols>
    <col min="1" max="1" width="8" customWidth="1"/>
    <col min="2" max="19" width="11" customWidth="1"/>
    <col min="20" max="20" width="13" customWidth="1"/>
    <col min="21" max="23" width="11" customWidth="1"/>
    <col min="24" max="27" width="13" customWidth="1"/>
    <col min="28" max="28" width="11" customWidth="1"/>
    <col min="29" max="31" width="13" customWidth="1"/>
  </cols>
  <sheetData>
    <row r="1" spans="1:31" ht="15" customHeight="1" thickBot="1" x14ac:dyDescent="0.35"/>
    <row r="2" spans="1:31" ht="17.399999999999999" customHeight="1" x14ac:dyDescent="0.3">
      <c r="A2" s="1"/>
      <c r="B2" s="237" t="s">
        <v>244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</row>
    <row r="3" spans="1:31" ht="15" customHeight="1" thickBot="1" x14ac:dyDescent="0.35">
      <c r="A3" s="2"/>
      <c r="B3" s="258" t="s">
        <v>245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</row>
    <row r="4" spans="1:31" ht="15" customHeight="1" thickBot="1" x14ac:dyDescent="0.35">
      <c r="A4" s="2"/>
    </row>
    <row r="5" spans="1:31" ht="15" customHeight="1" thickBot="1" x14ac:dyDescent="0.35">
      <c r="B5" s="263" t="s">
        <v>246</v>
      </c>
      <c r="C5" s="238"/>
      <c r="D5" s="238"/>
      <c r="E5" s="238"/>
      <c r="F5" s="238"/>
      <c r="G5" s="239"/>
      <c r="I5" s="263" t="s">
        <v>247</v>
      </c>
      <c r="J5" s="238"/>
      <c r="K5" s="238"/>
      <c r="L5" s="238"/>
      <c r="M5" s="239"/>
      <c r="O5" s="263" t="s">
        <v>248</v>
      </c>
      <c r="P5" s="238"/>
      <c r="Q5" s="238"/>
      <c r="R5" s="239"/>
      <c r="T5" s="263" t="s">
        <v>249</v>
      </c>
      <c r="U5" s="238"/>
      <c r="V5" s="239"/>
      <c r="X5" s="232" t="s">
        <v>250</v>
      </c>
      <c r="AC5" s="232" t="s">
        <v>251</v>
      </c>
    </row>
    <row r="6" spans="1:31" ht="15" customHeight="1" thickBot="1" x14ac:dyDescent="0.35">
      <c r="B6" s="159" t="s">
        <v>57</v>
      </c>
      <c r="C6" s="160" t="s">
        <v>58</v>
      </c>
      <c r="D6" s="160" t="s">
        <v>59</v>
      </c>
      <c r="E6" s="160" t="s">
        <v>60</v>
      </c>
      <c r="F6" s="160" t="s">
        <v>62</v>
      </c>
      <c r="G6" s="161" t="s">
        <v>63</v>
      </c>
      <c r="I6" s="164" t="s">
        <v>57</v>
      </c>
      <c r="J6" s="165" t="s">
        <v>58</v>
      </c>
      <c r="K6" s="165" t="s">
        <v>60</v>
      </c>
      <c r="L6" s="165" t="s">
        <v>62</v>
      </c>
      <c r="M6" s="166" t="s">
        <v>63</v>
      </c>
      <c r="O6" s="164" t="s">
        <v>57</v>
      </c>
      <c r="P6" s="165" t="s">
        <v>58</v>
      </c>
      <c r="Q6" s="165" t="s">
        <v>62</v>
      </c>
      <c r="R6" s="166" t="s">
        <v>63</v>
      </c>
      <c r="T6" s="164" t="s">
        <v>57</v>
      </c>
      <c r="U6" s="165" t="s">
        <v>58</v>
      </c>
      <c r="V6" s="166" t="s">
        <v>62</v>
      </c>
      <c r="X6" s="164" t="s">
        <v>57</v>
      </c>
      <c r="Y6" s="164" t="s">
        <v>58</v>
      </c>
      <c r="Z6" s="164" t="s">
        <v>62</v>
      </c>
      <c r="AA6" s="164" t="s">
        <v>252</v>
      </c>
      <c r="AC6" s="164" t="s">
        <v>57</v>
      </c>
      <c r="AD6" s="164" t="s">
        <v>58</v>
      </c>
      <c r="AE6" s="164" t="s">
        <v>63</v>
      </c>
    </row>
    <row r="7" spans="1:31" x14ac:dyDescent="0.3">
      <c r="B7" s="157">
        <f>'Ano 0 - Linha de Base'!D6</f>
        <v>24</v>
      </c>
      <c r="C7" s="33">
        <f>'Ano 0 - Linha de Base'!E6</f>
        <v>37.4</v>
      </c>
      <c r="D7" s="33">
        <f>'Ano 0 - Linha de Base'!F6</f>
        <v>85.7</v>
      </c>
      <c r="E7" s="33">
        <f>'Ano 0 - Linha de Base'!G6</f>
        <v>12.2</v>
      </c>
      <c r="F7" s="33">
        <f>'Ano 0 - Linha de Base'!I6</f>
        <v>29.9</v>
      </c>
      <c r="G7" s="158">
        <f>'Ano 0 - Linha de Base'!J6</f>
        <v>0.69399999999999995</v>
      </c>
      <c r="I7" s="162">
        <f>'Ano 0 - Linha de Base'!D6</f>
        <v>24</v>
      </c>
      <c r="J7" s="163">
        <f>'Ano 0 - Linha de Base'!E6</f>
        <v>37.4</v>
      </c>
      <c r="K7" s="163">
        <f>'Ano 0 - Linha de Base'!G6</f>
        <v>12.2</v>
      </c>
      <c r="L7" s="163">
        <f>'Ano 0 - Linha de Base'!I6</f>
        <v>29.9</v>
      </c>
      <c r="M7" s="167">
        <f>'Ano 0 - Linha de Base'!J6</f>
        <v>0.69399999999999995</v>
      </c>
      <c r="O7" s="162">
        <f>'Ano 0 - Linha de Base'!D6</f>
        <v>24</v>
      </c>
      <c r="P7" s="163">
        <f>'Ano 0 - Linha de Base'!E6</f>
        <v>37.4</v>
      </c>
      <c r="Q7" s="163">
        <f>'Ano 0 - Linha de Base'!I6</f>
        <v>29.9</v>
      </c>
      <c r="R7" s="167">
        <f>'Ano 0 - Linha de Base'!J6</f>
        <v>0.69399999999999995</v>
      </c>
      <c r="T7" s="162">
        <f>'Ano 0 - Linha de Base'!D6</f>
        <v>24</v>
      </c>
      <c r="U7" s="163">
        <f>'Ano 0 - Linha de Base'!E6</f>
        <v>37.4</v>
      </c>
      <c r="V7" s="168">
        <f>'Ano 0 - Linha de Base'!I6</f>
        <v>29.9</v>
      </c>
      <c r="X7" s="162">
        <f>'Ano 0 - Linha de Base'!D6</f>
        <v>24</v>
      </c>
      <c r="Y7" s="162">
        <f>'Ano 0 - Linha de Base'!E6</f>
        <v>37.4</v>
      </c>
      <c r="Z7" s="162">
        <f>'Ano 0 - Linha de Base'!I6</f>
        <v>29.9</v>
      </c>
      <c r="AA7" s="233">
        <f>'Ano 0 - Linha de Base'!J6-('4.1d Dependência Temp-UR'!$C$6+'4.1d Dependência Temp-UR'!$C$7*'Ano 0 - Linha de Base'!I6)</f>
        <v>-1.1167387204392254E-2</v>
      </c>
      <c r="AC7" s="162">
        <f>'Ano 0 - Linha de Base'!D6</f>
        <v>24</v>
      </c>
      <c r="AD7" s="162">
        <f>'Ano 0 - Linha de Base'!E6</f>
        <v>37.4</v>
      </c>
      <c r="AE7" s="162">
        <f>'Ano 0 - Linha de Base'!J6</f>
        <v>0.69399999999999995</v>
      </c>
    </row>
    <row r="8" spans="1:31" x14ac:dyDescent="0.3">
      <c r="B8" s="140">
        <f>'Ano 0 - Linha de Base'!D7</f>
        <v>28</v>
      </c>
      <c r="C8" s="21">
        <f>'Ano 0 - Linha de Base'!E7</f>
        <v>39.299999999999997</v>
      </c>
      <c r="D8" s="21">
        <f>'Ano 0 - Linha de Base'!F7</f>
        <v>85.7</v>
      </c>
      <c r="E8" s="21">
        <f>'Ano 0 - Linha de Base'!G7</f>
        <v>11.1</v>
      </c>
      <c r="F8" s="21">
        <f>'Ano 0 - Linha de Base'!I7</f>
        <v>29.7</v>
      </c>
      <c r="G8" s="141">
        <f>'Ano 0 - Linha de Base'!J7</f>
        <v>0.70899999999999996</v>
      </c>
      <c r="I8" s="147">
        <f>'Ano 0 - Linha de Base'!D7</f>
        <v>28</v>
      </c>
      <c r="J8" s="148">
        <f>'Ano 0 - Linha de Base'!E7</f>
        <v>39.299999999999997</v>
      </c>
      <c r="K8" s="148">
        <f>'Ano 0 - Linha de Base'!G7</f>
        <v>11.1</v>
      </c>
      <c r="L8" s="148">
        <f>'Ano 0 - Linha de Base'!I7</f>
        <v>29.7</v>
      </c>
      <c r="M8" s="152">
        <f>'Ano 0 - Linha de Base'!J7</f>
        <v>0.70899999999999996</v>
      </c>
      <c r="O8" s="147">
        <f>'Ano 0 - Linha de Base'!D7</f>
        <v>28</v>
      </c>
      <c r="P8" s="148">
        <f>'Ano 0 - Linha de Base'!E7</f>
        <v>39.299999999999997</v>
      </c>
      <c r="Q8" s="148">
        <f>'Ano 0 - Linha de Base'!I7</f>
        <v>29.7</v>
      </c>
      <c r="R8" s="152">
        <f>'Ano 0 - Linha de Base'!J7</f>
        <v>0.70899999999999996</v>
      </c>
      <c r="T8" s="147">
        <f>'Ano 0 - Linha de Base'!D7</f>
        <v>28</v>
      </c>
      <c r="U8" s="148">
        <f>'Ano 0 - Linha de Base'!E7</f>
        <v>39.299999999999997</v>
      </c>
      <c r="V8" s="155">
        <f>'Ano 0 - Linha de Base'!I7</f>
        <v>29.7</v>
      </c>
      <c r="X8" s="162">
        <f>'Ano 0 - Linha de Base'!D7</f>
        <v>28</v>
      </c>
      <c r="Y8" s="162">
        <f>'Ano 0 - Linha de Base'!E7</f>
        <v>39.299999999999997</v>
      </c>
      <c r="Z8" s="162">
        <f>'Ano 0 - Linha de Base'!I7</f>
        <v>29.7</v>
      </c>
      <c r="AA8" s="233">
        <f>'Ano 0 - Linha de Base'!J7-('4.1d Dependência Temp-UR'!$C$6+'4.1d Dependência Temp-UR'!$C$7*'Ano 0 - Linha de Base'!I7)</f>
        <v>6.3831355970446202E-3</v>
      </c>
      <c r="AC8" s="162">
        <f>'Ano 0 - Linha de Base'!D7</f>
        <v>28</v>
      </c>
      <c r="AD8" s="162">
        <f>'Ano 0 - Linha de Base'!E7</f>
        <v>39.299999999999997</v>
      </c>
      <c r="AE8" s="162">
        <f>'Ano 0 - Linha de Base'!J7</f>
        <v>0.70899999999999996</v>
      </c>
    </row>
    <row r="9" spans="1:31" x14ac:dyDescent="0.3">
      <c r="B9" s="140">
        <f>'Ano 0 - Linha de Base'!D8</f>
        <v>25.2</v>
      </c>
      <c r="C9" s="21">
        <f>'Ano 0 - Linha de Base'!E8</f>
        <v>32.200000000000003</v>
      </c>
      <c r="D9" s="21">
        <f>'Ano 0 - Linha de Base'!F8</f>
        <v>87.9</v>
      </c>
      <c r="E9" s="21">
        <f>'Ano 0 - Linha de Base'!G8</f>
        <v>11.7</v>
      </c>
      <c r="F9" s="21">
        <f>'Ano 0 - Linha de Base'!I8</f>
        <v>30.5</v>
      </c>
      <c r="G9" s="141">
        <f>'Ano 0 - Linha de Base'!J8</f>
        <v>0.76300000000000001</v>
      </c>
      <c r="I9" s="145">
        <f>'Ano 0 - Linha de Base'!D8</f>
        <v>25.2</v>
      </c>
      <c r="J9" s="146">
        <f>'Ano 0 - Linha de Base'!E8</f>
        <v>32.200000000000003</v>
      </c>
      <c r="K9" s="146">
        <f>'Ano 0 - Linha de Base'!G8</f>
        <v>11.7</v>
      </c>
      <c r="L9" s="146">
        <f>'Ano 0 - Linha de Base'!I8</f>
        <v>30.5</v>
      </c>
      <c r="M9" s="151">
        <f>'Ano 0 - Linha de Base'!J8</f>
        <v>0.76300000000000001</v>
      </c>
      <c r="O9" s="145">
        <f>'Ano 0 - Linha de Base'!D8</f>
        <v>25.2</v>
      </c>
      <c r="P9" s="146">
        <f>'Ano 0 - Linha de Base'!E8</f>
        <v>32.200000000000003</v>
      </c>
      <c r="Q9" s="146">
        <f>'Ano 0 - Linha de Base'!I8</f>
        <v>30.5</v>
      </c>
      <c r="R9" s="151">
        <f>'Ano 0 - Linha de Base'!J8</f>
        <v>0.76300000000000001</v>
      </c>
      <c r="T9" s="145">
        <f>'Ano 0 - Linha de Base'!D8</f>
        <v>25.2</v>
      </c>
      <c r="U9" s="146">
        <f>'Ano 0 - Linha de Base'!E8</f>
        <v>32.200000000000003</v>
      </c>
      <c r="V9" s="154">
        <f>'Ano 0 - Linha de Base'!I8</f>
        <v>30.5</v>
      </c>
      <c r="X9" s="162">
        <f>'Ano 0 - Linha de Base'!D8</f>
        <v>25.2</v>
      </c>
      <c r="Y9" s="162">
        <f>'Ano 0 - Linha de Base'!E8</f>
        <v>32.200000000000003</v>
      </c>
      <c r="Z9" s="162">
        <f>'Ano 0 - Linha de Base'!I8</f>
        <v>30.5</v>
      </c>
      <c r="AA9" s="233">
        <f>'Ano 0 - Linha de Base'!J8-('4.1d Dependência Temp-UR'!$C$6+'4.1d Dependência Temp-UR'!$C$7*'Ano 0 - Linha de Base'!I8)</f>
        <v>5.0181044391297336E-2</v>
      </c>
      <c r="AC9" s="162">
        <f>'Ano 0 - Linha de Base'!D8</f>
        <v>25.2</v>
      </c>
      <c r="AD9" s="162">
        <f>'Ano 0 - Linha de Base'!E8</f>
        <v>32.200000000000003</v>
      </c>
      <c r="AE9" s="162">
        <f>'Ano 0 - Linha de Base'!J8</f>
        <v>0.76300000000000001</v>
      </c>
    </row>
    <row r="10" spans="1:31" x14ac:dyDescent="0.3">
      <c r="B10" s="140">
        <f>'Ano 0 - Linha de Base'!D9</f>
        <v>26.6</v>
      </c>
      <c r="C10" s="21">
        <f>'Ano 0 - Linha de Base'!E9</f>
        <v>36.9</v>
      </c>
      <c r="D10" s="21">
        <f>'Ano 0 - Linha de Base'!F9</f>
        <v>82.1</v>
      </c>
      <c r="E10" s="21">
        <f>'Ano 0 - Linha de Base'!G9</f>
        <v>11.5</v>
      </c>
      <c r="F10" s="21">
        <f>'Ano 0 - Linha de Base'!I9</f>
        <v>31.2</v>
      </c>
      <c r="G10" s="141">
        <f>'Ano 0 - Linha de Base'!J9</f>
        <v>0.72</v>
      </c>
      <c r="I10" s="147">
        <f>'Ano 0 - Linha de Base'!D9</f>
        <v>26.6</v>
      </c>
      <c r="J10" s="148">
        <f>'Ano 0 - Linha de Base'!E9</f>
        <v>36.9</v>
      </c>
      <c r="K10" s="148">
        <f>'Ano 0 - Linha de Base'!G9</f>
        <v>11.5</v>
      </c>
      <c r="L10" s="148">
        <f>'Ano 0 - Linha de Base'!I9</f>
        <v>31.2</v>
      </c>
      <c r="M10" s="152">
        <f>'Ano 0 - Linha de Base'!J9</f>
        <v>0.72</v>
      </c>
      <c r="O10" s="147">
        <f>'Ano 0 - Linha de Base'!D9</f>
        <v>26.6</v>
      </c>
      <c r="P10" s="148">
        <f>'Ano 0 - Linha de Base'!E9</f>
        <v>36.9</v>
      </c>
      <c r="Q10" s="148">
        <f>'Ano 0 - Linha de Base'!I9</f>
        <v>31.2</v>
      </c>
      <c r="R10" s="152">
        <f>'Ano 0 - Linha de Base'!J9</f>
        <v>0.72</v>
      </c>
      <c r="T10" s="147">
        <f>'Ano 0 - Linha de Base'!D9</f>
        <v>26.6</v>
      </c>
      <c r="U10" s="148">
        <f>'Ano 0 - Linha de Base'!E9</f>
        <v>36.9</v>
      </c>
      <c r="V10" s="155">
        <f>'Ano 0 - Linha de Base'!I9</f>
        <v>31.2</v>
      </c>
      <c r="X10" s="162">
        <f>'Ano 0 - Linha de Base'!D9</f>
        <v>26.6</v>
      </c>
      <c r="Y10" s="162">
        <f>'Ano 0 - Linha de Base'!E9</f>
        <v>36.9</v>
      </c>
      <c r="Z10" s="162">
        <f>'Ano 0 - Linha de Base'!I9</f>
        <v>31.2</v>
      </c>
      <c r="AA10" s="233">
        <f>'Ano 0 - Linha de Base'!J9-('4.1d Dependência Temp-UR'!$C$6+'4.1d Dependência Temp-UR'!$C$7*'Ano 0 - Linha de Base'!I9)</f>
        <v>-1.7457854137316042E-3</v>
      </c>
      <c r="AC10" s="162">
        <f>'Ano 0 - Linha de Base'!D9</f>
        <v>26.6</v>
      </c>
      <c r="AD10" s="162">
        <f>'Ano 0 - Linha de Base'!E9</f>
        <v>36.9</v>
      </c>
      <c r="AE10" s="162">
        <f>'Ano 0 - Linha de Base'!J9</f>
        <v>0.72</v>
      </c>
    </row>
    <row r="11" spans="1:31" x14ac:dyDescent="0.3">
      <c r="B11" s="140">
        <f>'Ano 0 - Linha de Base'!D10</f>
        <v>26.6</v>
      </c>
      <c r="C11" s="21">
        <f>'Ano 0 - Linha de Base'!E10</f>
        <v>38.4</v>
      </c>
      <c r="D11" s="21">
        <f>'Ano 0 - Linha de Base'!F10</f>
        <v>85.1</v>
      </c>
      <c r="E11" s="21">
        <f>'Ano 0 - Linha de Base'!G10</f>
        <v>11.6</v>
      </c>
      <c r="F11" s="21">
        <f>'Ano 0 - Linha de Base'!I10</f>
        <v>29.8</v>
      </c>
      <c r="G11" s="141">
        <f>'Ano 0 - Linha de Base'!J10</f>
        <v>0.70499999999999996</v>
      </c>
      <c r="I11" s="145">
        <f>'Ano 0 - Linha de Base'!D10</f>
        <v>26.6</v>
      </c>
      <c r="J11" s="146">
        <f>'Ano 0 - Linha de Base'!E10</f>
        <v>38.4</v>
      </c>
      <c r="K11" s="146">
        <f>'Ano 0 - Linha de Base'!G10</f>
        <v>11.6</v>
      </c>
      <c r="L11" s="146">
        <f>'Ano 0 - Linha de Base'!I10</f>
        <v>29.8</v>
      </c>
      <c r="M11" s="151">
        <f>'Ano 0 - Linha de Base'!J10</f>
        <v>0.70499999999999996</v>
      </c>
      <c r="O11" s="145">
        <f>'Ano 0 - Linha de Base'!D10</f>
        <v>26.6</v>
      </c>
      <c r="P11" s="146">
        <f>'Ano 0 - Linha de Base'!E10</f>
        <v>38.4</v>
      </c>
      <c r="Q11" s="146">
        <f>'Ano 0 - Linha de Base'!I10</f>
        <v>29.8</v>
      </c>
      <c r="R11" s="151">
        <f>'Ano 0 - Linha de Base'!J10</f>
        <v>0.70499999999999996</v>
      </c>
      <c r="T11" s="145">
        <f>'Ano 0 - Linha de Base'!D10</f>
        <v>26.6</v>
      </c>
      <c r="U11" s="146">
        <f>'Ano 0 - Linha de Base'!E10</f>
        <v>38.4</v>
      </c>
      <c r="V11" s="154">
        <f>'Ano 0 - Linha de Base'!I10</f>
        <v>29.8</v>
      </c>
      <c r="X11" s="162">
        <f>'Ano 0 - Linha de Base'!D10</f>
        <v>26.6</v>
      </c>
      <c r="Y11" s="162">
        <f>'Ano 0 - Linha de Base'!E10</f>
        <v>38.4</v>
      </c>
      <c r="Z11" s="162">
        <f>'Ano 0 - Linha de Base'!I10</f>
        <v>29.8</v>
      </c>
      <c r="AA11" s="233">
        <f>'Ano 0 - Linha de Base'!J10-('4.1d Dependência Temp-UR'!$C$6+'4.1d Dependência Temp-UR'!$C$7*'Ano 0 - Linha de Base'!I10)</f>
        <v>1.1078741963261862E-3</v>
      </c>
      <c r="AC11" s="162">
        <f>'Ano 0 - Linha de Base'!D10</f>
        <v>26.6</v>
      </c>
      <c r="AD11" s="162">
        <f>'Ano 0 - Linha de Base'!E10</f>
        <v>38.4</v>
      </c>
      <c r="AE11" s="162">
        <f>'Ano 0 - Linha de Base'!J10</f>
        <v>0.70499999999999996</v>
      </c>
    </row>
    <row r="12" spans="1:31" x14ac:dyDescent="0.3">
      <c r="B12" s="140">
        <f>'Ano 0 - Linha de Base'!D11</f>
        <v>26.2</v>
      </c>
      <c r="C12" s="21">
        <f>'Ano 0 - Linha de Base'!E11</f>
        <v>36</v>
      </c>
      <c r="D12" s="21">
        <f>'Ano 0 - Linha de Base'!F11</f>
        <v>80.599999999999994</v>
      </c>
      <c r="E12" s="21">
        <f>'Ano 0 - Linha de Base'!G11</f>
        <v>10.7</v>
      </c>
      <c r="F12" s="21">
        <f>'Ano 0 - Linha de Base'!I11</f>
        <v>29.6</v>
      </c>
      <c r="G12" s="141">
        <f>'Ano 0 - Linha de Base'!J11</f>
        <v>0.69299999999999995</v>
      </c>
      <c r="I12" s="147">
        <f>'Ano 0 - Linha de Base'!D11</f>
        <v>26.2</v>
      </c>
      <c r="J12" s="148">
        <f>'Ano 0 - Linha de Base'!E11</f>
        <v>36</v>
      </c>
      <c r="K12" s="148">
        <f>'Ano 0 - Linha de Base'!G11</f>
        <v>10.7</v>
      </c>
      <c r="L12" s="148">
        <f>'Ano 0 - Linha de Base'!I11</f>
        <v>29.6</v>
      </c>
      <c r="M12" s="152">
        <f>'Ano 0 - Linha de Base'!J11</f>
        <v>0.69299999999999995</v>
      </c>
      <c r="O12" s="147">
        <f>'Ano 0 - Linha de Base'!D11</f>
        <v>26.2</v>
      </c>
      <c r="P12" s="148">
        <f>'Ano 0 - Linha de Base'!E11</f>
        <v>36</v>
      </c>
      <c r="Q12" s="148">
        <f>'Ano 0 - Linha de Base'!I11</f>
        <v>29.6</v>
      </c>
      <c r="R12" s="152">
        <f>'Ano 0 - Linha de Base'!J11</f>
        <v>0.69299999999999995</v>
      </c>
      <c r="T12" s="147">
        <f>'Ano 0 - Linha de Base'!D11</f>
        <v>26.2</v>
      </c>
      <c r="U12" s="148">
        <f>'Ano 0 - Linha de Base'!E11</f>
        <v>36</v>
      </c>
      <c r="V12" s="155">
        <f>'Ano 0 - Linha de Base'!I11</f>
        <v>29.6</v>
      </c>
      <c r="X12" s="162">
        <f>'Ano 0 - Linha de Base'!D11</f>
        <v>26.2</v>
      </c>
      <c r="Y12" s="162">
        <f>'Ano 0 - Linha de Base'!E11</f>
        <v>36</v>
      </c>
      <c r="Z12" s="162">
        <f>'Ano 0 - Linha de Base'!I11</f>
        <v>29.6</v>
      </c>
      <c r="AA12" s="233">
        <f>'Ano 0 - Linha de Base'!J11-('4.1d Dependência Temp-UR'!$C$6+'4.1d Dependência Temp-UR'!$C$7*'Ano 0 - Linha de Base'!I11)</f>
        <v>-8.3416030022370746E-3</v>
      </c>
      <c r="AC12" s="162">
        <f>'Ano 0 - Linha de Base'!D11</f>
        <v>26.2</v>
      </c>
      <c r="AD12" s="162">
        <f>'Ano 0 - Linha de Base'!E11</f>
        <v>36</v>
      </c>
      <c r="AE12" s="162">
        <f>'Ano 0 - Linha de Base'!J11</f>
        <v>0.69299999999999995</v>
      </c>
    </row>
    <row r="13" spans="1:31" x14ac:dyDescent="0.3">
      <c r="B13" s="140">
        <f>'Ano 0 - Linha de Base'!D12</f>
        <v>24.4</v>
      </c>
      <c r="C13" s="21">
        <f>'Ano 0 - Linha de Base'!E12</f>
        <v>42.1</v>
      </c>
      <c r="D13" s="21">
        <f>'Ano 0 - Linha de Base'!F12</f>
        <v>83.5</v>
      </c>
      <c r="E13" s="21">
        <f>'Ano 0 - Linha de Base'!G12</f>
        <v>11.5</v>
      </c>
      <c r="F13" s="21">
        <f>'Ano 0 - Linha de Base'!I12</f>
        <v>30.8</v>
      </c>
      <c r="G13" s="141">
        <f>'Ano 0 - Linha de Base'!J12</f>
        <v>0.65200000000000002</v>
      </c>
      <c r="I13" s="145">
        <f>'Ano 0 - Linha de Base'!D12</f>
        <v>24.4</v>
      </c>
      <c r="J13" s="146">
        <f>'Ano 0 - Linha de Base'!E12</f>
        <v>42.1</v>
      </c>
      <c r="K13" s="146">
        <f>'Ano 0 - Linha de Base'!G12</f>
        <v>11.5</v>
      </c>
      <c r="L13" s="146">
        <f>'Ano 0 - Linha de Base'!I12</f>
        <v>30.8</v>
      </c>
      <c r="M13" s="151">
        <f>'Ano 0 - Linha de Base'!J12</f>
        <v>0.65200000000000002</v>
      </c>
      <c r="O13" s="145">
        <f>'Ano 0 - Linha de Base'!D12</f>
        <v>24.4</v>
      </c>
      <c r="P13" s="146">
        <f>'Ano 0 - Linha de Base'!E12</f>
        <v>42.1</v>
      </c>
      <c r="Q13" s="146">
        <f>'Ano 0 - Linha de Base'!I12</f>
        <v>30.8</v>
      </c>
      <c r="R13" s="151">
        <f>'Ano 0 - Linha de Base'!J12</f>
        <v>0.65200000000000002</v>
      </c>
      <c r="T13" s="145">
        <f>'Ano 0 - Linha de Base'!D12</f>
        <v>24.4</v>
      </c>
      <c r="U13" s="146">
        <f>'Ano 0 - Linha de Base'!E12</f>
        <v>42.1</v>
      </c>
      <c r="V13" s="154">
        <f>'Ano 0 - Linha de Base'!I12</f>
        <v>30.8</v>
      </c>
      <c r="X13" s="162">
        <f>'Ano 0 - Linha de Base'!D12</f>
        <v>24.4</v>
      </c>
      <c r="Y13" s="162">
        <f>'Ano 0 - Linha de Base'!E12</f>
        <v>42.1</v>
      </c>
      <c r="Z13" s="162">
        <f>'Ano 0 - Linha de Base'!I12</f>
        <v>30.8</v>
      </c>
      <c r="AA13" s="233">
        <f>'Ano 0 - Linha de Base'!J12-('4.1d Dependência Temp-UR'!$C$6+'4.1d Dependência Temp-UR'!$C$7*'Ano 0 - Linha de Base'!I12)</f>
        <v>-6.4644739810857943E-2</v>
      </c>
      <c r="AC13" s="162">
        <f>'Ano 0 - Linha de Base'!D12</f>
        <v>24.4</v>
      </c>
      <c r="AD13" s="162">
        <f>'Ano 0 - Linha de Base'!E12</f>
        <v>42.1</v>
      </c>
      <c r="AE13" s="162">
        <f>'Ano 0 - Linha de Base'!J12</f>
        <v>0.65200000000000002</v>
      </c>
    </row>
    <row r="14" spans="1:31" x14ac:dyDescent="0.3">
      <c r="B14" s="140">
        <f>'Ano 0 - Linha de Base'!D13</f>
        <v>26.2</v>
      </c>
      <c r="C14" s="21">
        <f>'Ano 0 - Linha de Base'!E13</f>
        <v>35.1</v>
      </c>
      <c r="D14" s="21">
        <f>'Ano 0 - Linha de Base'!F13</f>
        <v>81.400000000000006</v>
      </c>
      <c r="E14" s="21">
        <f>'Ano 0 - Linha de Base'!G13</f>
        <v>12</v>
      </c>
      <c r="F14" s="21">
        <f>'Ano 0 - Linha de Base'!I13</f>
        <v>29.8</v>
      </c>
      <c r="G14" s="141">
        <f>'Ano 0 - Linha de Base'!J13</f>
        <v>0.69699999999999995</v>
      </c>
      <c r="I14" s="147">
        <f>'Ano 0 - Linha de Base'!D13</f>
        <v>26.2</v>
      </c>
      <c r="J14" s="148">
        <f>'Ano 0 - Linha de Base'!E13</f>
        <v>35.1</v>
      </c>
      <c r="K14" s="148">
        <f>'Ano 0 - Linha de Base'!G13</f>
        <v>12</v>
      </c>
      <c r="L14" s="148">
        <f>'Ano 0 - Linha de Base'!I13</f>
        <v>29.8</v>
      </c>
      <c r="M14" s="152">
        <f>'Ano 0 - Linha de Base'!J13</f>
        <v>0.69699999999999995</v>
      </c>
      <c r="O14" s="147">
        <f>'Ano 0 - Linha de Base'!D13</f>
        <v>26.2</v>
      </c>
      <c r="P14" s="148">
        <f>'Ano 0 - Linha de Base'!E13</f>
        <v>35.1</v>
      </c>
      <c r="Q14" s="148">
        <f>'Ano 0 - Linha de Base'!I13</f>
        <v>29.8</v>
      </c>
      <c r="R14" s="152">
        <f>'Ano 0 - Linha de Base'!J13</f>
        <v>0.69699999999999995</v>
      </c>
      <c r="T14" s="147">
        <f>'Ano 0 - Linha de Base'!D13</f>
        <v>26.2</v>
      </c>
      <c r="U14" s="148">
        <f>'Ano 0 - Linha de Base'!E13</f>
        <v>35.1</v>
      </c>
      <c r="V14" s="155">
        <f>'Ano 0 - Linha de Base'!I13</f>
        <v>29.8</v>
      </c>
      <c r="X14" s="162">
        <f>'Ano 0 - Linha de Base'!D13</f>
        <v>26.2</v>
      </c>
      <c r="Y14" s="162">
        <f>'Ano 0 - Linha de Base'!E13</f>
        <v>35.1</v>
      </c>
      <c r="Z14" s="162">
        <f>'Ano 0 - Linha de Base'!I13</f>
        <v>29.8</v>
      </c>
      <c r="AA14" s="233">
        <f>'Ano 0 - Linha de Base'!J13-('4.1d Dependência Temp-UR'!$C$6+'4.1d Dependência Temp-UR'!$C$7*'Ano 0 - Linha de Base'!I13)</f>
        <v>-6.8921258036738209E-3</v>
      </c>
      <c r="AC14" s="162">
        <f>'Ano 0 - Linha de Base'!D13</f>
        <v>26.2</v>
      </c>
      <c r="AD14" s="162">
        <f>'Ano 0 - Linha de Base'!E13</f>
        <v>35.1</v>
      </c>
      <c r="AE14" s="162">
        <f>'Ano 0 - Linha de Base'!J13</f>
        <v>0.69699999999999995</v>
      </c>
    </row>
    <row r="15" spans="1:31" x14ac:dyDescent="0.3">
      <c r="B15" s="140">
        <f>'Ano 0 - Linha de Base'!D14</f>
        <v>23.2</v>
      </c>
      <c r="C15" s="21">
        <f>'Ano 0 - Linha de Base'!E14</f>
        <v>36.9</v>
      </c>
      <c r="D15" s="21">
        <f>'Ano 0 - Linha de Base'!F14</f>
        <v>82.4</v>
      </c>
      <c r="E15" s="21">
        <f>'Ano 0 - Linha de Base'!G14</f>
        <v>13</v>
      </c>
      <c r="F15" s="21">
        <f>'Ano 0 - Linha de Base'!I14</f>
        <v>28.3</v>
      </c>
      <c r="G15" s="141">
        <f>'Ano 0 - Linha de Base'!J14</f>
        <v>0.68100000000000005</v>
      </c>
      <c r="I15" s="145">
        <f>'Ano 0 - Linha de Base'!D14</f>
        <v>23.2</v>
      </c>
      <c r="J15" s="146">
        <f>'Ano 0 - Linha de Base'!E14</f>
        <v>36.9</v>
      </c>
      <c r="K15" s="146">
        <f>'Ano 0 - Linha de Base'!G14</f>
        <v>13</v>
      </c>
      <c r="L15" s="146">
        <f>'Ano 0 - Linha de Base'!I14</f>
        <v>28.3</v>
      </c>
      <c r="M15" s="151">
        <f>'Ano 0 - Linha de Base'!J14</f>
        <v>0.68100000000000005</v>
      </c>
      <c r="O15" s="145">
        <f>'Ano 0 - Linha de Base'!D14</f>
        <v>23.2</v>
      </c>
      <c r="P15" s="146">
        <f>'Ano 0 - Linha de Base'!E14</f>
        <v>36.9</v>
      </c>
      <c r="Q15" s="146">
        <f>'Ano 0 - Linha de Base'!I14</f>
        <v>28.3</v>
      </c>
      <c r="R15" s="151">
        <f>'Ano 0 - Linha de Base'!J14</f>
        <v>0.68100000000000005</v>
      </c>
      <c r="T15" s="145">
        <f>'Ano 0 - Linha de Base'!D14</f>
        <v>23.2</v>
      </c>
      <c r="U15" s="146">
        <f>'Ano 0 - Linha de Base'!E14</f>
        <v>36.9</v>
      </c>
      <c r="V15" s="154">
        <f>'Ano 0 - Linha de Base'!I14</f>
        <v>28.3</v>
      </c>
      <c r="X15" s="162">
        <f>'Ano 0 - Linha de Base'!D14</f>
        <v>23.2</v>
      </c>
      <c r="Y15" s="162">
        <f>'Ano 0 - Linha de Base'!E14</f>
        <v>36.9</v>
      </c>
      <c r="Z15" s="162">
        <f>'Ano 0 - Linha de Base'!I14</f>
        <v>28.3</v>
      </c>
      <c r="AA15" s="233">
        <f>'Ano 0 - Linha de Base'!J14-('4.1d Dependência Temp-UR'!$C$6+'4.1d Dependência Temp-UR'!$C$7*'Ano 0 - Linha de Base'!I14)</f>
        <v>-3.7632047928974899E-3</v>
      </c>
      <c r="AC15" s="162">
        <f>'Ano 0 - Linha de Base'!D14</f>
        <v>23.2</v>
      </c>
      <c r="AD15" s="162">
        <f>'Ano 0 - Linha de Base'!E14</f>
        <v>36.9</v>
      </c>
      <c r="AE15" s="162">
        <f>'Ano 0 - Linha de Base'!J14</f>
        <v>0.68100000000000005</v>
      </c>
    </row>
    <row r="16" spans="1:31" x14ac:dyDescent="0.3">
      <c r="B16" s="140">
        <f>'Ano 0 - Linha de Base'!D15</f>
        <v>23.7</v>
      </c>
      <c r="C16" s="21">
        <f>'Ano 0 - Linha de Base'!E15</f>
        <v>37.9</v>
      </c>
      <c r="D16" s="21">
        <f>'Ano 0 - Linha de Base'!F15</f>
        <v>84.7</v>
      </c>
      <c r="E16" s="21">
        <f>'Ano 0 - Linha de Base'!G15</f>
        <v>12.5</v>
      </c>
      <c r="F16" s="21">
        <f>'Ano 0 - Linha de Base'!I15</f>
        <v>28.5</v>
      </c>
      <c r="G16" s="141">
        <f>'Ano 0 - Linha de Base'!J15</f>
        <v>0.75600000000000001</v>
      </c>
      <c r="I16" s="147">
        <f>'Ano 0 - Linha de Base'!D15</f>
        <v>23.7</v>
      </c>
      <c r="J16" s="148">
        <f>'Ano 0 - Linha de Base'!E15</f>
        <v>37.9</v>
      </c>
      <c r="K16" s="148">
        <f>'Ano 0 - Linha de Base'!G15</f>
        <v>12.5</v>
      </c>
      <c r="L16" s="148">
        <f>'Ano 0 - Linha de Base'!I15</f>
        <v>28.5</v>
      </c>
      <c r="M16" s="152">
        <f>'Ano 0 - Linha de Base'!J15</f>
        <v>0.75600000000000001</v>
      </c>
      <c r="O16" s="147">
        <f>'Ano 0 - Linha de Base'!D15</f>
        <v>23.7</v>
      </c>
      <c r="P16" s="148">
        <f>'Ano 0 - Linha de Base'!E15</f>
        <v>37.9</v>
      </c>
      <c r="Q16" s="148">
        <f>'Ano 0 - Linha de Base'!I15</f>
        <v>28.5</v>
      </c>
      <c r="R16" s="152">
        <f>'Ano 0 - Linha de Base'!J15</f>
        <v>0.75600000000000001</v>
      </c>
      <c r="T16" s="147">
        <f>'Ano 0 - Linha de Base'!D15</f>
        <v>23.7</v>
      </c>
      <c r="U16" s="148">
        <f>'Ano 0 - Linha de Base'!E15</f>
        <v>37.9</v>
      </c>
      <c r="V16" s="155">
        <f>'Ano 0 - Linha de Base'!I15</f>
        <v>28.5</v>
      </c>
      <c r="X16" s="162">
        <f>'Ano 0 - Linha de Base'!D15</f>
        <v>23.7</v>
      </c>
      <c r="Y16" s="162">
        <f>'Ano 0 - Linha de Base'!E15</f>
        <v>37.9</v>
      </c>
      <c r="Z16" s="162">
        <f>'Ano 0 - Linha de Base'!I15</f>
        <v>28.5</v>
      </c>
      <c r="AA16" s="233">
        <f>'Ano 0 - Linha de Base'!J15-('4.1d Dependência Temp-UR'!$C$6+'4.1d Dependência Temp-UR'!$C$7*'Ano 0 - Linha de Base'!I15)</f>
        <v>6.8686272405665605E-2</v>
      </c>
      <c r="AC16" s="162">
        <f>'Ano 0 - Linha de Base'!D15</f>
        <v>23.7</v>
      </c>
      <c r="AD16" s="162">
        <f>'Ano 0 - Linha de Base'!E15</f>
        <v>37.9</v>
      </c>
      <c r="AE16" s="162">
        <f>'Ano 0 - Linha de Base'!J15</f>
        <v>0.75600000000000001</v>
      </c>
    </row>
    <row r="17" spans="2:31" x14ac:dyDescent="0.3">
      <c r="B17" s="140">
        <f>'Ano 0 - Linha de Base'!D16</f>
        <v>22.8</v>
      </c>
      <c r="C17" s="21">
        <f>'Ano 0 - Linha de Base'!E16</f>
        <v>40.4</v>
      </c>
      <c r="D17" s="21">
        <f>'Ano 0 - Linha de Base'!F16</f>
        <v>78.3</v>
      </c>
      <c r="E17" s="21">
        <f>'Ano 0 - Linha de Base'!G16</f>
        <v>13.7</v>
      </c>
      <c r="F17" s="21">
        <f>'Ano 0 - Linha de Base'!I16</f>
        <v>27.1</v>
      </c>
      <c r="G17" s="141">
        <f>'Ano 0 - Linha de Base'!J16</f>
        <v>0.65900000000000003</v>
      </c>
      <c r="I17" s="145">
        <f>'Ano 0 - Linha de Base'!D16</f>
        <v>22.8</v>
      </c>
      <c r="J17" s="146">
        <f>'Ano 0 - Linha de Base'!E16</f>
        <v>40.4</v>
      </c>
      <c r="K17" s="146">
        <f>'Ano 0 - Linha de Base'!G16</f>
        <v>13.7</v>
      </c>
      <c r="L17" s="146">
        <f>'Ano 0 - Linha de Base'!I16</f>
        <v>27.1</v>
      </c>
      <c r="M17" s="151">
        <f>'Ano 0 - Linha de Base'!J16</f>
        <v>0.65900000000000003</v>
      </c>
      <c r="O17" s="145">
        <f>'Ano 0 - Linha de Base'!D16</f>
        <v>22.8</v>
      </c>
      <c r="P17" s="146">
        <f>'Ano 0 - Linha de Base'!E16</f>
        <v>40.4</v>
      </c>
      <c r="Q17" s="146">
        <f>'Ano 0 - Linha de Base'!I16</f>
        <v>27.1</v>
      </c>
      <c r="R17" s="151">
        <f>'Ano 0 - Linha de Base'!J16</f>
        <v>0.65900000000000003</v>
      </c>
      <c r="T17" s="145">
        <f>'Ano 0 - Linha de Base'!D16</f>
        <v>22.8</v>
      </c>
      <c r="U17" s="146">
        <f>'Ano 0 - Linha de Base'!E16</f>
        <v>40.4</v>
      </c>
      <c r="V17" s="154">
        <f>'Ano 0 - Linha de Base'!I16</f>
        <v>27.1</v>
      </c>
      <c r="X17" s="162">
        <f>'Ano 0 - Linha de Base'!D16</f>
        <v>22.8</v>
      </c>
      <c r="Y17" s="162">
        <f>'Ano 0 - Linha de Base'!E16</f>
        <v>40.4</v>
      </c>
      <c r="Z17" s="162">
        <f>'Ano 0 - Linha de Base'!I16</f>
        <v>27.1</v>
      </c>
      <c r="AA17" s="233">
        <f>'Ano 0 - Linha de Base'!J16-('4.1d Dependência Temp-UR'!$C$6+'4.1d Dependência Temp-UR'!$C$7*'Ano 0 - Linha de Base'!I16)</f>
        <v>-1.0460067984276566E-2</v>
      </c>
      <c r="AC17" s="162">
        <f>'Ano 0 - Linha de Base'!D16</f>
        <v>22.8</v>
      </c>
      <c r="AD17" s="162">
        <f>'Ano 0 - Linha de Base'!E16</f>
        <v>40.4</v>
      </c>
      <c r="AE17" s="162">
        <f>'Ano 0 - Linha de Base'!J16</f>
        <v>0.65900000000000003</v>
      </c>
    </row>
    <row r="18" spans="2:31" x14ac:dyDescent="0.3">
      <c r="B18" s="140">
        <f>'Ano 0 - Linha de Base'!D17</f>
        <v>23.2</v>
      </c>
      <c r="C18" s="21">
        <f>'Ano 0 - Linha de Base'!E17</f>
        <v>33.700000000000003</v>
      </c>
      <c r="D18" s="21">
        <f>'Ano 0 - Linha de Base'!F17</f>
        <v>91.4</v>
      </c>
      <c r="E18" s="21">
        <f>'Ano 0 - Linha de Base'!G17</f>
        <v>10.7</v>
      </c>
      <c r="F18" s="21">
        <f>'Ano 0 - Linha de Base'!I17</f>
        <v>26.4</v>
      </c>
      <c r="G18" s="141">
        <f>'Ano 0 - Linha de Base'!J17</f>
        <v>0.66600000000000004</v>
      </c>
      <c r="I18" s="147">
        <f>'Ano 0 - Linha de Base'!D17</f>
        <v>23.2</v>
      </c>
      <c r="J18" s="148">
        <f>'Ano 0 - Linha de Base'!E17</f>
        <v>33.700000000000003</v>
      </c>
      <c r="K18" s="148">
        <f>'Ano 0 - Linha de Base'!G17</f>
        <v>10.7</v>
      </c>
      <c r="L18" s="148">
        <f>'Ano 0 - Linha de Base'!I17</f>
        <v>26.4</v>
      </c>
      <c r="M18" s="152">
        <f>'Ano 0 - Linha de Base'!J17</f>
        <v>0.66600000000000004</v>
      </c>
      <c r="O18" s="147">
        <f>'Ano 0 - Linha de Base'!D17</f>
        <v>23.2</v>
      </c>
      <c r="P18" s="148">
        <f>'Ano 0 - Linha de Base'!E17</f>
        <v>33.700000000000003</v>
      </c>
      <c r="Q18" s="148">
        <f>'Ano 0 - Linha de Base'!I17</f>
        <v>26.4</v>
      </c>
      <c r="R18" s="152">
        <f>'Ano 0 - Linha de Base'!J17</f>
        <v>0.66600000000000004</v>
      </c>
      <c r="T18" s="147">
        <f>'Ano 0 - Linha de Base'!D17</f>
        <v>23.2</v>
      </c>
      <c r="U18" s="148">
        <f>'Ano 0 - Linha de Base'!E17</f>
        <v>33.700000000000003</v>
      </c>
      <c r="V18" s="155">
        <f>'Ano 0 - Linha de Base'!I17</f>
        <v>26.4</v>
      </c>
      <c r="X18" s="162">
        <f>'Ano 0 - Linha de Base'!D17</f>
        <v>23.2</v>
      </c>
      <c r="Y18" s="162">
        <f>'Ano 0 - Linha de Base'!E17</f>
        <v>33.700000000000003</v>
      </c>
      <c r="Z18" s="162">
        <f>'Ano 0 - Linha de Base'!I17</f>
        <v>26.4</v>
      </c>
      <c r="AA18" s="233">
        <f>'Ano 0 - Linha de Base'!J17-('4.1d Dependência Temp-UR'!$C$6+'4.1d Dependência Temp-UR'!$C$7*'Ano 0 - Linha de Base'!I17)</f>
        <v>5.4667618207523416E-3</v>
      </c>
      <c r="AC18" s="162">
        <f>'Ano 0 - Linha de Base'!D17</f>
        <v>23.2</v>
      </c>
      <c r="AD18" s="162">
        <f>'Ano 0 - Linha de Base'!E17</f>
        <v>33.700000000000003</v>
      </c>
      <c r="AE18" s="162">
        <f>'Ano 0 - Linha de Base'!J17</f>
        <v>0.66600000000000004</v>
      </c>
    </row>
    <row r="19" spans="2:31" x14ac:dyDescent="0.3">
      <c r="B19" s="140">
        <f>'Ano 0 - Linha de Base'!D18</f>
        <v>26.7</v>
      </c>
      <c r="C19" s="21">
        <f>'Ano 0 - Linha de Base'!E18</f>
        <v>39.1</v>
      </c>
      <c r="D19" s="21">
        <f>'Ano 0 - Linha de Base'!F18</f>
        <v>77.5</v>
      </c>
      <c r="E19" s="21">
        <f>'Ano 0 - Linha de Base'!G18</f>
        <v>12.4</v>
      </c>
      <c r="F19" s="21">
        <f>'Ano 0 - Linha de Base'!I18</f>
        <v>26.2</v>
      </c>
      <c r="G19" s="141">
        <f>'Ano 0 - Linha de Base'!J18</f>
        <v>0.65300000000000002</v>
      </c>
      <c r="I19" s="145">
        <f>'Ano 0 - Linha de Base'!D18</f>
        <v>26.7</v>
      </c>
      <c r="J19" s="146">
        <f>'Ano 0 - Linha de Base'!E18</f>
        <v>39.1</v>
      </c>
      <c r="K19" s="146">
        <f>'Ano 0 - Linha de Base'!G18</f>
        <v>12.4</v>
      </c>
      <c r="L19" s="146">
        <f>'Ano 0 - Linha de Base'!I18</f>
        <v>26.2</v>
      </c>
      <c r="M19" s="151">
        <f>'Ano 0 - Linha de Base'!J18</f>
        <v>0.65300000000000002</v>
      </c>
      <c r="O19" s="145">
        <f>'Ano 0 - Linha de Base'!D18</f>
        <v>26.7</v>
      </c>
      <c r="P19" s="146">
        <f>'Ano 0 - Linha de Base'!E18</f>
        <v>39.1</v>
      </c>
      <c r="Q19" s="146">
        <f>'Ano 0 - Linha de Base'!I18</f>
        <v>26.2</v>
      </c>
      <c r="R19" s="151">
        <f>'Ano 0 - Linha de Base'!J18</f>
        <v>0.65300000000000002</v>
      </c>
      <c r="T19" s="145">
        <f>'Ano 0 - Linha de Base'!D18</f>
        <v>26.7</v>
      </c>
      <c r="U19" s="146">
        <f>'Ano 0 - Linha de Base'!E18</f>
        <v>39.1</v>
      </c>
      <c r="V19" s="154">
        <f>'Ano 0 - Linha de Base'!I18</f>
        <v>26.2</v>
      </c>
      <c r="X19" s="162">
        <f>'Ano 0 - Linha de Base'!D18</f>
        <v>26.7</v>
      </c>
      <c r="Y19" s="162">
        <f>'Ano 0 - Linha de Base'!E18</f>
        <v>39.1</v>
      </c>
      <c r="Z19" s="162">
        <f>'Ano 0 - Linha de Base'!I18</f>
        <v>26.2</v>
      </c>
      <c r="AA19" s="233">
        <f>'Ano 0 - Linha de Base'!J18-('4.1d Dependência Temp-UR'!$C$6+'4.1d Dependência Temp-UR'!$C$7*'Ano 0 - Linha de Base'!I18)</f>
        <v>-4.9827153778108091E-3</v>
      </c>
      <c r="AC19" s="162">
        <f>'Ano 0 - Linha de Base'!D18</f>
        <v>26.7</v>
      </c>
      <c r="AD19" s="162">
        <f>'Ano 0 - Linha de Base'!E18</f>
        <v>39.1</v>
      </c>
      <c r="AE19" s="162">
        <f>'Ano 0 - Linha de Base'!J18</f>
        <v>0.65300000000000002</v>
      </c>
    </row>
    <row r="20" spans="2:31" x14ac:dyDescent="0.3">
      <c r="B20" s="140">
        <f>'Ano 0 - Linha de Base'!D19</f>
        <v>18.5</v>
      </c>
      <c r="C20" s="21">
        <f>'Ano 0 - Linha de Base'!E19</f>
        <v>36.200000000000003</v>
      </c>
      <c r="D20" s="21">
        <f>'Ano 0 - Linha de Base'!F19</f>
        <v>76.5</v>
      </c>
      <c r="E20" s="21">
        <f>'Ano 0 - Linha de Base'!G19</f>
        <v>11.7</v>
      </c>
      <c r="F20" s="21">
        <f>'Ano 0 - Linha de Base'!I19</f>
        <v>23.6</v>
      </c>
      <c r="G20" s="141">
        <f>'Ano 0 - Linha de Base'!J19</f>
        <v>0.58799999999999997</v>
      </c>
      <c r="I20" s="147">
        <f>'Ano 0 - Linha de Base'!D19</f>
        <v>18.5</v>
      </c>
      <c r="J20" s="148">
        <f>'Ano 0 - Linha de Base'!E19</f>
        <v>36.200000000000003</v>
      </c>
      <c r="K20" s="148">
        <f>'Ano 0 - Linha de Base'!G19</f>
        <v>11.7</v>
      </c>
      <c r="L20" s="148">
        <f>'Ano 0 - Linha de Base'!I19</f>
        <v>23.6</v>
      </c>
      <c r="M20" s="152">
        <f>'Ano 0 - Linha de Base'!J19</f>
        <v>0.58799999999999997</v>
      </c>
      <c r="O20" s="147">
        <f>'Ano 0 - Linha de Base'!D19</f>
        <v>18.5</v>
      </c>
      <c r="P20" s="148">
        <f>'Ano 0 - Linha de Base'!E19</f>
        <v>36.200000000000003</v>
      </c>
      <c r="Q20" s="148">
        <f>'Ano 0 - Linha de Base'!I19</f>
        <v>23.6</v>
      </c>
      <c r="R20" s="152">
        <f>'Ano 0 - Linha de Base'!J19</f>
        <v>0.58799999999999997</v>
      </c>
      <c r="T20" s="147">
        <f>'Ano 0 - Linha de Base'!D19</f>
        <v>18.5</v>
      </c>
      <c r="U20" s="148">
        <f>'Ano 0 - Linha de Base'!E19</f>
        <v>36.200000000000003</v>
      </c>
      <c r="V20" s="155">
        <f>'Ano 0 - Linha de Base'!I19</f>
        <v>23.6</v>
      </c>
      <c r="X20" s="162">
        <f>'Ano 0 - Linha de Base'!D19</f>
        <v>18.5</v>
      </c>
      <c r="Y20" s="162">
        <f>'Ano 0 - Linha de Base'!E19</f>
        <v>36.200000000000003</v>
      </c>
      <c r="Z20" s="162">
        <f>'Ano 0 - Linha de Base'!I19</f>
        <v>23.6</v>
      </c>
      <c r="AA20" s="233">
        <f>'Ano 0 - Linha de Base'!J19-('4.1d Dependência Temp-UR'!$C$6+'4.1d Dependência Temp-UR'!$C$7*'Ano 0 - Linha de Base'!I19)</f>
        <v>-3.682591895913212E-2</v>
      </c>
      <c r="AC20" s="162">
        <f>'Ano 0 - Linha de Base'!D19</f>
        <v>18.5</v>
      </c>
      <c r="AD20" s="162">
        <f>'Ano 0 - Linha de Base'!E19</f>
        <v>36.200000000000003</v>
      </c>
      <c r="AE20" s="162">
        <f>'Ano 0 - Linha de Base'!J19</f>
        <v>0.58799999999999997</v>
      </c>
    </row>
    <row r="21" spans="2:31" x14ac:dyDescent="0.3">
      <c r="B21" s="140">
        <f>'Ano 0 - Linha de Base'!D20</f>
        <v>22.6</v>
      </c>
      <c r="C21" s="21">
        <f>'Ano 0 - Linha de Base'!E20</f>
        <v>33.6</v>
      </c>
      <c r="D21" s="21">
        <f>'Ano 0 - Linha de Base'!F20</f>
        <v>87.2</v>
      </c>
      <c r="E21" s="21">
        <f>'Ano 0 - Linha de Base'!G20</f>
        <v>13.7</v>
      </c>
      <c r="F21" s="21">
        <f>'Ano 0 - Linha de Base'!I20</f>
        <v>22.9</v>
      </c>
      <c r="G21" s="141">
        <f>'Ano 0 - Linha de Base'!J20</f>
        <v>0.64900000000000002</v>
      </c>
      <c r="I21" s="145">
        <f>'Ano 0 - Linha de Base'!D20</f>
        <v>22.6</v>
      </c>
      <c r="J21" s="146">
        <f>'Ano 0 - Linha de Base'!E20</f>
        <v>33.6</v>
      </c>
      <c r="K21" s="146">
        <f>'Ano 0 - Linha de Base'!G20</f>
        <v>13.7</v>
      </c>
      <c r="L21" s="146">
        <f>'Ano 0 - Linha de Base'!I20</f>
        <v>22.9</v>
      </c>
      <c r="M21" s="151">
        <f>'Ano 0 - Linha de Base'!J20</f>
        <v>0.64900000000000002</v>
      </c>
      <c r="O21" s="145">
        <f>'Ano 0 - Linha de Base'!D20</f>
        <v>22.6</v>
      </c>
      <c r="P21" s="146">
        <f>'Ano 0 - Linha de Base'!E20</f>
        <v>33.6</v>
      </c>
      <c r="Q21" s="146">
        <f>'Ano 0 - Linha de Base'!I20</f>
        <v>22.9</v>
      </c>
      <c r="R21" s="151">
        <f>'Ano 0 - Linha de Base'!J20</f>
        <v>0.64900000000000002</v>
      </c>
      <c r="T21" s="145">
        <f>'Ano 0 - Linha de Base'!D20</f>
        <v>22.6</v>
      </c>
      <c r="U21" s="146">
        <f>'Ano 0 - Linha de Base'!E20</f>
        <v>33.6</v>
      </c>
      <c r="V21" s="154">
        <f>'Ano 0 - Linha de Base'!I20</f>
        <v>22.9</v>
      </c>
      <c r="X21" s="162">
        <f>'Ano 0 - Linha de Base'!D20</f>
        <v>22.6</v>
      </c>
      <c r="Y21" s="162">
        <f>'Ano 0 - Linha de Base'!E20</f>
        <v>33.6</v>
      </c>
      <c r="Z21" s="162">
        <f>'Ano 0 - Linha de Base'!I20</f>
        <v>22.9</v>
      </c>
      <c r="AA21" s="233">
        <f>'Ano 0 - Linha de Base'!J20-('4.1d Dependência Temp-UR'!$C$6+'4.1d Dependência Temp-UR'!$C$7*'Ano 0 - Linha de Base'!I20)</f>
        <v>3.3100910845896836E-2</v>
      </c>
      <c r="AC21" s="162">
        <f>'Ano 0 - Linha de Base'!D20</f>
        <v>22.6</v>
      </c>
      <c r="AD21" s="162">
        <f>'Ano 0 - Linha de Base'!E20</f>
        <v>33.6</v>
      </c>
      <c r="AE21" s="162">
        <f>'Ano 0 - Linha de Base'!J20</f>
        <v>0.64900000000000002</v>
      </c>
    </row>
    <row r="22" spans="2:31" x14ac:dyDescent="0.3">
      <c r="B22" s="140">
        <f>'Ano 0 - Linha de Base'!D21</f>
        <v>17.899999999999999</v>
      </c>
      <c r="C22" s="21">
        <f>'Ano 0 - Linha de Base'!E21</f>
        <v>36.5</v>
      </c>
      <c r="D22" s="21">
        <f>'Ano 0 - Linha de Base'!F21</f>
        <v>85.6</v>
      </c>
      <c r="E22" s="21">
        <f>'Ano 0 - Linha de Base'!G21</f>
        <v>10.7</v>
      </c>
      <c r="F22" s="21">
        <f>'Ano 0 - Linha de Base'!I21</f>
        <v>23</v>
      </c>
      <c r="G22" s="141">
        <f>'Ano 0 - Linha de Base'!J21</f>
        <v>0.63900000000000001</v>
      </c>
      <c r="I22" s="147">
        <f>'Ano 0 - Linha de Base'!D21</f>
        <v>17.899999999999999</v>
      </c>
      <c r="J22" s="148">
        <f>'Ano 0 - Linha de Base'!E21</f>
        <v>36.5</v>
      </c>
      <c r="K22" s="148">
        <f>'Ano 0 - Linha de Base'!G21</f>
        <v>10.7</v>
      </c>
      <c r="L22" s="148">
        <f>'Ano 0 - Linha de Base'!I21</f>
        <v>23</v>
      </c>
      <c r="M22" s="152">
        <f>'Ano 0 - Linha de Base'!J21</f>
        <v>0.63900000000000001</v>
      </c>
      <c r="O22" s="147">
        <f>'Ano 0 - Linha de Base'!D21</f>
        <v>17.899999999999999</v>
      </c>
      <c r="P22" s="148">
        <f>'Ano 0 - Linha de Base'!E21</f>
        <v>36.5</v>
      </c>
      <c r="Q22" s="148">
        <f>'Ano 0 - Linha de Base'!I21</f>
        <v>23</v>
      </c>
      <c r="R22" s="152">
        <f>'Ano 0 - Linha de Base'!J21</f>
        <v>0.63900000000000001</v>
      </c>
      <c r="T22" s="147">
        <f>'Ano 0 - Linha de Base'!D21</f>
        <v>17.899999999999999</v>
      </c>
      <c r="U22" s="148">
        <f>'Ano 0 - Linha de Base'!E21</f>
        <v>36.5</v>
      </c>
      <c r="V22" s="155">
        <f>'Ano 0 - Linha de Base'!I21</f>
        <v>23</v>
      </c>
      <c r="X22" s="162">
        <f>'Ano 0 - Linha de Base'!D21</f>
        <v>17.899999999999999</v>
      </c>
      <c r="Y22" s="162">
        <f>'Ano 0 - Linha de Base'!E21</f>
        <v>36.5</v>
      </c>
      <c r="Z22" s="162">
        <f>'Ano 0 - Linha de Base'!I21</f>
        <v>23</v>
      </c>
      <c r="AA22" s="233">
        <f>'Ano 0 - Linha de Base'!J21-('4.1d Dependência Temp-UR'!$C$6+'4.1d Dependência Temp-UR'!$C$7*'Ano 0 - Linha de Base'!I21)</f>
        <v>2.1825649445178508E-2</v>
      </c>
      <c r="AC22" s="162">
        <f>'Ano 0 - Linha de Base'!D21</f>
        <v>17.899999999999999</v>
      </c>
      <c r="AD22" s="162">
        <f>'Ano 0 - Linha de Base'!E21</f>
        <v>36.5</v>
      </c>
      <c r="AE22" s="162">
        <f>'Ano 0 - Linha de Base'!J21</f>
        <v>0.63900000000000001</v>
      </c>
    </row>
    <row r="23" spans="2:31" x14ac:dyDescent="0.3">
      <c r="B23" s="140">
        <f>'Ano 0 - Linha de Base'!D22</f>
        <v>19.600000000000001</v>
      </c>
      <c r="C23" s="21">
        <f>'Ano 0 - Linha de Base'!E22</f>
        <v>35.5</v>
      </c>
      <c r="D23" s="21">
        <f>'Ano 0 - Linha de Base'!F22</f>
        <v>84.8</v>
      </c>
      <c r="E23" s="21">
        <f>'Ano 0 - Linha de Base'!G22</f>
        <v>10.7</v>
      </c>
      <c r="F23" s="21">
        <f>'Ano 0 - Linha de Base'!I22</f>
        <v>21.7</v>
      </c>
      <c r="G23" s="141">
        <f>'Ano 0 - Linha de Base'!J22</f>
        <v>0.624</v>
      </c>
      <c r="I23" s="145">
        <f>'Ano 0 - Linha de Base'!D22</f>
        <v>19.600000000000001</v>
      </c>
      <c r="J23" s="146">
        <f>'Ano 0 - Linha de Base'!E22</f>
        <v>35.5</v>
      </c>
      <c r="K23" s="146">
        <f>'Ano 0 - Linha de Base'!G22</f>
        <v>10.7</v>
      </c>
      <c r="L23" s="146">
        <f>'Ano 0 - Linha de Base'!I22</f>
        <v>21.7</v>
      </c>
      <c r="M23" s="151">
        <f>'Ano 0 - Linha de Base'!J22</f>
        <v>0.624</v>
      </c>
      <c r="O23" s="145">
        <f>'Ano 0 - Linha de Base'!D22</f>
        <v>19.600000000000001</v>
      </c>
      <c r="P23" s="146">
        <f>'Ano 0 - Linha de Base'!E22</f>
        <v>35.5</v>
      </c>
      <c r="Q23" s="146">
        <f>'Ano 0 - Linha de Base'!I22</f>
        <v>21.7</v>
      </c>
      <c r="R23" s="151">
        <f>'Ano 0 - Linha de Base'!J22</f>
        <v>0.624</v>
      </c>
      <c r="T23" s="145">
        <f>'Ano 0 - Linha de Base'!D22</f>
        <v>19.600000000000001</v>
      </c>
      <c r="U23" s="146">
        <f>'Ano 0 - Linha de Base'!E22</f>
        <v>35.5</v>
      </c>
      <c r="V23" s="154">
        <f>'Ano 0 - Linha de Base'!I22</f>
        <v>21.7</v>
      </c>
      <c r="X23" s="162">
        <f>'Ano 0 - Linha de Base'!D22</f>
        <v>19.600000000000001</v>
      </c>
      <c r="Y23" s="162">
        <f>'Ano 0 - Linha de Base'!E22</f>
        <v>35.5</v>
      </c>
      <c r="Z23" s="162">
        <f>'Ano 0 - Linha de Base'!I22</f>
        <v>21.7</v>
      </c>
      <c r="AA23" s="233">
        <f>'Ano 0 - Linha de Base'!J22-('4.1d Dependência Temp-UR'!$C$6+'4.1d Dependência Temp-UR'!$C$7*'Ano 0 - Linha de Base'!I22)</f>
        <v>2.3404047654517868E-2</v>
      </c>
      <c r="AC23" s="162">
        <f>'Ano 0 - Linha de Base'!D22</f>
        <v>19.600000000000001</v>
      </c>
      <c r="AD23" s="162">
        <f>'Ano 0 - Linha de Base'!E22</f>
        <v>35.5</v>
      </c>
      <c r="AE23" s="162">
        <f>'Ano 0 - Linha de Base'!J22</f>
        <v>0.624</v>
      </c>
    </row>
    <row r="24" spans="2:31" x14ac:dyDescent="0.3">
      <c r="B24" s="140">
        <f>'Ano 0 - Linha de Base'!D23</f>
        <v>22.1</v>
      </c>
      <c r="C24" s="21">
        <f>'Ano 0 - Linha de Base'!E23</f>
        <v>33.5</v>
      </c>
      <c r="D24" s="21">
        <f>'Ano 0 - Linha de Base'!F23</f>
        <v>84.8</v>
      </c>
      <c r="E24" s="21">
        <f>'Ano 0 - Linha de Base'!G23</f>
        <v>10.9</v>
      </c>
      <c r="F24" s="21">
        <f>'Ano 0 - Linha de Base'!I23</f>
        <v>21.8</v>
      </c>
      <c r="G24" s="141">
        <f>'Ano 0 - Linha de Base'!J23</f>
        <v>0.57399999999999995</v>
      </c>
      <c r="I24" s="147">
        <f>'Ano 0 - Linha de Base'!D23</f>
        <v>22.1</v>
      </c>
      <c r="J24" s="148">
        <f>'Ano 0 - Linha de Base'!E23</f>
        <v>33.5</v>
      </c>
      <c r="K24" s="148">
        <f>'Ano 0 - Linha de Base'!G23</f>
        <v>10.9</v>
      </c>
      <c r="L24" s="148">
        <f>'Ano 0 - Linha de Base'!I23</f>
        <v>21.8</v>
      </c>
      <c r="M24" s="152">
        <f>'Ano 0 - Linha de Base'!J23</f>
        <v>0.57399999999999995</v>
      </c>
      <c r="O24" s="147">
        <f>'Ano 0 - Linha de Base'!D23</f>
        <v>22.1</v>
      </c>
      <c r="P24" s="148">
        <f>'Ano 0 - Linha de Base'!E23</f>
        <v>33.5</v>
      </c>
      <c r="Q24" s="148">
        <f>'Ano 0 - Linha de Base'!I23</f>
        <v>21.8</v>
      </c>
      <c r="R24" s="152">
        <f>'Ano 0 - Linha de Base'!J23</f>
        <v>0.57399999999999995</v>
      </c>
      <c r="T24" s="147">
        <f>'Ano 0 - Linha de Base'!D23</f>
        <v>22.1</v>
      </c>
      <c r="U24" s="148">
        <f>'Ano 0 - Linha de Base'!E23</f>
        <v>33.5</v>
      </c>
      <c r="V24" s="155">
        <f>'Ano 0 - Linha de Base'!I23</f>
        <v>21.8</v>
      </c>
      <c r="X24" s="162">
        <f>'Ano 0 - Linha de Base'!D23</f>
        <v>22.1</v>
      </c>
      <c r="Y24" s="162">
        <f>'Ano 0 - Linha de Base'!E23</f>
        <v>33.5</v>
      </c>
      <c r="Z24" s="162">
        <f>'Ano 0 - Linha de Base'!I23</f>
        <v>21.8</v>
      </c>
      <c r="AA24" s="233">
        <f>'Ano 0 - Linha de Base'!J23-('4.1d Dependência Temp-UR'!$C$6+'4.1d Dependência Temp-UR'!$C$7*'Ano 0 - Linha de Base'!I23)</f>
        <v>-2.7871213746200607E-2</v>
      </c>
      <c r="AC24" s="162">
        <f>'Ano 0 - Linha de Base'!D23</f>
        <v>22.1</v>
      </c>
      <c r="AD24" s="162">
        <f>'Ano 0 - Linha de Base'!E23</f>
        <v>33.5</v>
      </c>
      <c r="AE24" s="162">
        <f>'Ano 0 - Linha de Base'!J23</f>
        <v>0.57399999999999995</v>
      </c>
    </row>
    <row r="25" spans="2:31" x14ac:dyDescent="0.3">
      <c r="B25" s="140">
        <f>'Ano 0 - Linha de Base'!D24</f>
        <v>20.100000000000001</v>
      </c>
      <c r="C25" s="21">
        <f>'Ano 0 - Linha de Base'!E24</f>
        <v>34.700000000000003</v>
      </c>
      <c r="D25" s="21">
        <f>'Ano 0 - Linha de Base'!F24</f>
        <v>81.900000000000006</v>
      </c>
      <c r="E25" s="21">
        <f>'Ano 0 - Linha de Base'!G24</f>
        <v>9.4</v>
      </c>
      <c r="F25" s="21">
        <f>'Ano 0 - Linha de Base'!I24</f>
        <v>20</v>
      </c>
      <c r="G25" s="141">
        <f>'Ano 0 - Linha de Base'!J24</f>
        <v>0.622</v>
      </c>
      <c r="I25" s="145">
        <f>'Ano 0 - Linha de Base'!D24</f>
        <v>20.100000000000001</v>
      </c>
      <c r="J25" s="146">
        <f>'Ano 0 - Linha de Base'!E24</f>
        <v>34.700000000000003</v>
      </c>
      <c r="K25" s="146">
        <f>'Ano 0 - Linha de Base'!G24</f>
        <v>9.4</v>
      </c>
      <c r="L25" s="146">
        <f>'Ano 0 - Linha de Base'!I24</f>
        <v>20</v>
      </c>
      <c r="M25" s="151">
        <f>'Ano 0 - Linha de Base'!J24</f>
        <v>0.622</v>
      </c>
      <c r="O25" s="145">
        <f>'Ano 0 - Linha de Base'!D24</f>
        <v>20.100000000000001</v>
      </c>
      <c r="P25" s="146">
        <f>'Ano 0 - Linha de Base'!E24</f>
        <v>34.700000000000003</v>
      </c>
      <c r="Q25" s="146">
        <f>'Ano 0 - Linha de Base'!I24</f>
        <v>20</v>
      </c>
      <c r="R25" s="151">
        <f>'Ano 0 - Linha de Base'!J24</f>
        <v>0.622</v>
      </c>
      <c r="T25" s="145">
        <f>'Ano 0 - Linha de Base'!D24</f>
        <v>20.100000000000001</v>
      </c>
      <c r="U25" s="146">
        <f>'Ano 0 - Linha de Base'!E24</f>
        <v>34.700000000000003</v>
      </c>
      <c r="V25" s="154">
        <f>'Ano 0 - Linha de Base'!I24</f>
        <v>20</v>
      </c>
      <c r="X25" s="162">
        <f>'Ano 0 - Linha de Base'!D24</f>
        <v>20.100000000000001</v>
      </c>
      <c r="Y25" s="162">
        <f>'Ano 0 - Linha de Base'!E24</f>
        <v>34.700000000000003</v>
      </c>
      <c r="Z25" s="162">
        <f>'Ano 0 - Linha de Base'!I24</f>
        <v>20</v>
      </c>
      <c r="AA25" s="233">
        <f>'Ano 0 - Linha de Base'!J24-('4.1d Dependência Temp-UR'!$C$6+'4.1d Dependência Temp-UR'!$C$7*'Ano 0 - Linha de Base'!I24)</f>
        <v>4.3083491466730961E-2</v>
      </c>
      <c r="AC25" s="162">
        <f>'Ano 0 - Linha de Base'!D24</f>
        <v>20.100000000000001</v>
      </c>
      <c r="AD25" s="162">
        <f>'Ano 0 - Linha de Base'!E24</f>
        <v>34.700000000000003</v>
      </c>
      <c r="AE25" s="162">
        <f>'Ano 0 - Linha de Base'!J24</f>
        <v>0.622</v>
      </c>
    </row>
    <row r="26" spans="2:31" x14ac:dyDescent="0.3">
      <c r="B26" s="140">
        <f>'Ano 0 - Linha de Base'!D25</f>
        <v>18.100000000000001</v>
      </c>
      <c r="C26" s="21">
        <f>'Ano 0 - Linha de Base'!E25</f>
        <v>33.4</v>
      </c>
      <c r="D26" s="21">
        <f>'Ano 0 - Linha de Base'!F25</f>
        <v>78</v>
      </c>
      <c r="E26" s="21">
        <f>'Ano 0 - Linha de Base'!G25</f>
        <v>11</v>
      </c>
      <c r="F26" s="21">
        <f>'Ano 0 - Linha de Base'!I25</f>
        <v>18.7</v>
      </c>
      <c r="G26" s="141">
        <f>'Ano 0 - Linha de Base'!J25</f>
        <v>0.52200000000000002</v>
      </c>
      <c r="I26" s="147">
        <f>'Ano 0 - Linha de Base'!D25</f>
        <v>18.100000000000001</v>
      </c>
      <c r="J26" s="148">
        <f>'Ano 0 - Linha de Base'!E25</f>
        <v>33.4</v>
      </c>
      <c r="K26" s="148">
        <f>'Ano 0 - Linha de Base'!G25</f>
        <v>11</v>
      </c>
      <c r="L26" s="148">
        <f>'Ano 0 - Linha de Base'!I25</f>
        <v>18.7</v>
      </c>
      <c r="M26" s="152">
        <f>'Ano 0 - Linha de Base'!J25</f>
        <v>0.52200000000000002</v>
      </c>
      <c r="O26" s="147">
        <f>'Ano 0 - Linha de Base'!D25</f>
        <v>18.100000000000001</v>
      </c>
      <c r="P26" s="148">
        <f>'Ano 0 - Linha de Base'!E25</f>
        <v>33.4</v>
      </c>
      <c r="Q26" s="148">
        <f>'Ano 0 - Linha de Base'!I25</f>
        <v>18.7</v>
      </c>
      <c r="R26" s="152">
        <f>'Ano 0 - Linha de Base'!J25</f>
        <v>0.52200000000000002</v>
      </c>
      <c r="T26" s="147">
        <f>'Ano 0 - Linha de Base'!D25</f>
        <v>18.100000000000001</v>
      </c>
      <c r="U26" s="148">
        <f>'Ano 0 - Linha de Base'!E25</f>
        <v>33.4</v>
      </c>
      <c r="V26" s="155">
        <f>'Ano 0 - Linha de Base'!I25</f>
        <v>18.7</v>
      </c>
      <c r="X26" s="162">
        <f>'Ano 0 - Linha de Base'!D25</f>
        <v>18.100000000000001</v>
      </c>
      <c r="Y26" s="162">
        <f>'Ano 0 - Linha de Base'!E25</f>
        <v>33.4</v>
      </c>
      <c r="Z26" s="162">
        <f>'Ano 0 - Linha de Base'!I25</f>
        <v>18.7</v>
      </c>
      <c r="AA26" s="233">
        <f>'Ano 0 - Linha de Base'!J25-('4.1d Dependência Temp-UR'!$C$6+'4.1d Dependência Temp-UR'!$C$7*'Ano 0 - Linha de Base'!I25)</f>
        <v>-4.0338110323929643E-2</v>
      </c>
      <c r="AC26" s="162">
        <f>'Ano 0 - Linha de Base'!D25</f>
        <v>18.100000000000001</v>
      </c>
      <c r="AD26" s="162">
        <f>'Ano 0 - Linha de Base'!E25</f>
        <v>33.4</v>
      </c>
      <c r="AE26" s="162">
        <f>'Ano 0 - Linha de Base'!J25</f>
        <v>0.52200000000000002</v>
      </c>
    </row>
    <row r="27" spans="2:31" x14ac:dyDescent="0.3">
      <c r="B27" s="140">
        <f>'Ano 0 - Linha de Base'!D26</f>
        <v>18.899999999999999</v>
      </c>
      <c r="C27" s="21">
        <f>'Ano 0 - Linha de Base'!E26</f>
        <v>34.299999999999997</v>
      </c>
      <c r="D27" s="21">
        <f>'Ano 0 - Linha de Base'!F26</f>
        <v>82.3</v>
      </c>
      <c r="E27" s="21">
        <f>'Ano 0 - Linha de Base'!G26</f>
        <v>10.7</v>
      </c>
      <c r="F27" s="21">
        <f>'Ano 0 - Linha de Base'!I26</f>
        <v>20.2</v>
      </c>
      <c r="G27" s="141">
        <f>'Ano 0 - Linha de Base'!J26</f>
        <v>0.6</v>
      </c>
      <c r="I27" s="145">
        <f>'Ano 0 - Linha de Base'!D26</f>
        <v>18.899999999999999</v>
      </c>
      <c r="J27" s="146">
        <f>'Ano 0 - Linha de Base'!E26</f>
        <v>34.299999999999997</v>
      </c>
      <c r="K27" s="146">
        <f>'Ano 0 - Linha de Base'!G26</f>
        <v>10.7</v>
      </c>
      <c r="L27" s="146">
        <f>'Ano 0 - Linha de Base'!I26</f>
        <v>20.2</v>
      </c>
      <c r="M27" s="151">
        <f>'Ano 0 - Linha de Base'!J26</f>
        <v>0.6</v>
      </c>
      <c r="O27" s="145">
        <f>'Ano 0 - Linha de Base'!D26</f>
        <v>18.899999999999999</v>
      </c>
      <c r="P27" s="146">
        <f>'Ano 0 - Linha de Base'!E26</f>
        <v>34.299999999999997</v>
      </c>
      <c r="Q27" s="146">
        <f>'Ano 0 - Linha de Base'!I26</f>
        <v>20.2</v>
      </c>
      <c r="R27" s="151">
        <f>'Ano 0 - Linha de Base'!J26</f>
        <v>0.6</v>
      </c>
      <c r="T27" s="145">
        <f>'Ano 0 - Linha de Base'!D26</f>
        <v>18.899999999999999</v>
      </c>
      <c r="U27" s="146">
        <f>'Ano 0 - Linha de Base'!E26</f>
        <v>34.299999999999997</v>
      </c>
      <c r="V27" s="154">
        <f>'Ano 0 - Linha de Base'!I26</f>
        <v>20.2</v>
      </c>
      <c r="X27" s="162">
        <f>'Ano 0 - Linha de Base'!D26</f>
        <v>18.899999999999999</v>
      </c>
      <c r="Y27" s="162">
        <f>'Ano 0 - Linha de Base'!E26</f>
        <v>34.299999999999997</v>
      </c>
      <c r="Z27" s="162">
        <f>'Ano 0 - Linha de Base'!I26</f>
        <v>20.2</v>
      </c>
      <c r="AA27" s="233">
        <f>'Ano 0 - Linha de Base'!J26-('4.1d Dependência Temp-UR'!$C$6+'4.1d Dependência Temp-UR'!$C$7*'Ano 0 - Linha de Base'!I26)</f>
        <v>1.8532968665294081E-2</v>
      </c>
      <c r="AC27" s="162">
        <f>'Ano 0 - Linha de Base'!D26</f>
        <v>18.899999999999999</v>
      </c>
      <c r="AD27" s="162">
        <f>'Ano 0 - Linha de Base'!E26</f>
        <v>34.299999999999997</v>
      </c>
      <c r="AE27" s="162">
        <f>'Ano 0 - Linha de Base'!J26</f>
        <v>0.6</v>
      </c>
    </row>
    <row r="28" spans="2:31" x14ac:dyDescent="0.3">
      <c r="B28" s="140">
        <f>'Ano 0 - Linha de Base'!D27</f>
        <v>21.7</v>
      </c>
      <c r="C28" s="21">
        <f>'Ano 0 - Linha de Base'!E27</f>
        <v>35.299999999999997</v>
      </c>
      <c r="D28" s="21">
        <f>'Ano 0 - Linha de Base'!F27</f>
        <v>79</v>
      </c>
      <c r="E28" s="21">
        <f>'Ano 0 - Linha de Base'!G27</f>
        <v>11.7</v>
      </c>
      <c r="F28" s="21">
        <f>'Ano 0 - Linha de Base'!I27</f>
        <v>18.100000000000001</v>
      </c>
      <c r="G28" s="141">
        <f>'Ano 0 - Linha de Base'!J27</f>
        <v>0.623</v>
      </c>
      <c r="I28" s="147">
        <f>'Ano 0 - Linha de Base'!D27</f>
        <v>21.7</v>
      </c>
      <c r="J28" s="148">
        <f>'Ano 0 - Linha de Base'!E27</f>
        <v>35.299999999999997</v>
      </c>
      <c r="K28" s="148">
        <f>'Ano 0 - Linha de Base'!G27</f>
        <v>11.7</v>
      </c>
      <c r="L28" s="148">
        <f>'Ano 0 - Linha de Base'!I27</f>
        <v>18.100000000000001</v>
      </c>
      <c r="M28" s="152">
        <f>'Ano 0 - Linha de Base'!J27</f>
        <v>0.623</v>
      </c>
      <c r="O28" s="147">
        <f>'Ano 0 - Linha de Base'!D27</f>
        <v>21.7</v>
      </c>
      <c r="P28" s="148">
        <f>'Ano 0 - Linha de Base'!E27</f>
        <v>35.299999999999997</v>
      </c>
      <c r="Q28" s="148">
        <f>'Ano 0 - Linha de Base'!I27</f>
        <v>18.100000000000001</v>
      </c>
      <c r="R28" s="152">
        <f>'Ano 0 - Linha de Base'!J27</f>
        <v>0.623</v>
      </c>
      <c r="T28" s="147">
        <f>'Ano 0 - Linha de Base'!D27</f>
        <v>21.7</v>
      </c>
      <c r="U28" s="148">
        <f>'Ano 0 - Linha de Base'!E27</f>
        <v>35.299999999999997</v>
      </c>
      <c r="V28" s="155">
        <f>'Ano 0 - Linha de Base'!I27</f>
        <v>18.100000000000001</v>
      </c>
      <c r="X28" s="162">
        <f>'Ano 0 - Linha de Base'!D27</f>
        <v>21.7</v>
      </c>
      <c r="Y28" s="162">
        <f>'Ano 0 - Linha de Base'!E27</f>
        <v>35.299999999999997</v>
      </c>
      <c r="Z28" s="162">
        <f>'Ano 0 - Linha de Base'!I27</f>
        <v>18.100000000000001</v>
      </c>
      <c r="AA28" s="233">
        <f>'Ano 0 - Linha de Base'!J27-('4.1d Dependência Temp-UR'!$C$6+'4.1d Dependência Temp-UR'!$C$7*'Ano 0 - Linha de Base'!I27)</f>
        <v>6.8313458080380807E-2</v>
      </c>
      <c r="AC28" s="162">
        <f>'Ano 0 - Linha de Base'!D27</f>
        <v>21.7</v>
      </c>
      <c r="AD28" s="162">
        <f>'Ano 0 - Linha de Base'!E27</f>
        <v>35.299999999999997</v>
      </c>
      <c r="AE28" s="162">
        <f>'Ano 0 - Linha de Base'!J27</f>
        <v>0.623</v>
      </c>
    </row>
    <row r="29" spans="2:31" x14ac:dyDescent="0.3">
      <c r="B29" s="140">
        <f>'Ano 0 - Linha de Base'!D28</f>
        <v>19.5</v>
      </c>
      <c r="C29" s="21">
        <f>'Ano 0 - Linha de Base'!E28</f>
        <v>37.200000000000003</v>
      </c>
      <c r="D29" s="21">
        <f>'Ano 0 - Linha de Base'!F28</f>
        <v>86.4</v>
      </c>
      <c r="E29" s="21">
        <f>'Ano 0 - Linha de Base'!G28</f>
        <v>11.8</v>
      </c>
      <c r="F29" s="21">
        <f>'Ano 0 - Linha de Base'!I28</f>
        <v>17.600000000000001</v>
      </c>
      <c r="G29" s="141">
        <f>'Ano 0 - Linha de Base'!J28</f>
        <v>0.52100000000000002</v>
      </c>
      <c r="I29" s="145">
        <f>'Ano 0 - Linha de Base'!D28</f>
        <v>19.5</v>
      </c>
      <c r="J29" s="146">
        <f>'Ano 0 - Linha de Base'!E28</f>
        <v>37.200000000000003</v>
      </c>
      <c r="K29" s="146">
        <f>'Ano 0 - Linha de Base'!G28</f>
        <v>11.8</v>
      </c>
      <c r="L29" s="146">
        <f>'Ano 0 - Linha de Base'!I28</f>
        <v>17.600000000000001</v>
      </c>
      <c r="M29" s="151">
        <f>'Ano 0 - Linha de Base'!J28</f>
        <v>0.52100000000000002</v>
      </c>
      <c r="O29" s="145">
        <f>'Ano 0 - Linha de Base'!D28</f>
        <v>19.5</v>
      </c>
      <c r="P29" s="146">
        <f>'Ano 0 - Linha de Base'!E28</f>
        <v>37.200000000000003</v>
      </c>
      <c r="Q29" s="146">
        <f>'Ano 0 - Linha de Base'!I28</f>
        <v>17.600000000000001</v>
      </c>
      <c r="R29" s="151">
        <f>'Ano 0 - Linha de Base'!J28</f>
        <v>0.52100000000000002</v>
      </c>
      <c r="T29" s="145">
        <f>'Ano 0 - Linha de Base'!D28</f>
        <v>19.5</v>
      </c>
      <c r="U29" s="146">
        <f>'Ano 0 - Linha de Base'!E28</f>
        <v>37.200000000000003</v>
      </c>
      <c r="V29" s="154">
        <f>'Ano 0 - Linha de Base'!I28</f>
        <v>17.600000000000001</v>
      </c>
      <c r="X29" s="162">
        <f>'Ano 0 - Linha de Base'!D28</f>
        <v>19.5</v>
      </c>
      <c r="Y29" s="162">
        <f>'Ano 0 - Linha de Base'!E28</f>
        <v>37.200000000000003</v>
      </c>
      <c r="Z29" s="162">
        <f>'Ano 0 - Linha de Base'!I28</f>
        <v>17.600000000000001</v>
      </c>
      <c r="AA29" s="233">
        <f>'Ano 0 - Linha de Base'!J28-('4.1d Dependência Temp-UR'!$C$6+'4.1d Dependência Temp-UR'!$C$7*'Ano 0 - Linha de Base'!I28)</f>
        <v>-2.7310234916027132E-2</v>
      </c>
      <c r="AC29" s="162">
        <f>'Ano 0 - Linha de Base'!D28</f>
        <v>19.5</v>
      </c>
      <c r="AD29" s="162">
        <f>'Ano 0 - Linha de Base'!E28</f>
        <v>37.200000000000003</v>
      </c>
      <c r="AE29" s="162">
        <f>'Ano 0 - Linha de Base'!J28</f>
        <v>0.52100000000000002</v>
      </c>
    </row>
    <row r="30" spans="2:31" x14ac:dyDescent="0.3">
      <c r="B30" s="140">
        <f>'Ano 0 - Linha de Base'!D29</f>
        <v>21.7</v>
      </c>
      <c r="C30" s="21">
        <f>'Ano 0 - Linha de Base'!E29</f>
        <v>30.9</v>
      </c>
      <c r="D30" s="21">
        <f>'Ano 0 - Linha de Base'!F29</f>
        <v>81.3</v>
      </c>
      <c r="E30" s="21">
        <f>'Ano 0 - Linha de Base'!G29</f>
        <v>13.4</v>
      </c>
      <c r="F30" s="21">
        <f>'Ano 0 - Linha de Base'!I29</f>
        <v>15.7</v>
      </c>
      <c r="G30" s="141">
        <f>'Ano 0 - Linha de Base'!J29</f>
        <v>0.51100000000000001</v>
      </c>
      <c r="I30" s="147">
        <f>'Ano 0 - Linha de Base'!D29</f>
        <v>21.7</v>
      </c>
      <c r="J30" s="148">
        <f>'Ano 0 - Linha de Base'!E29</f>
        <v>30.9</v>
      </c>
      <c r="K30" s="148">
        <f>'Ano 0 - Linha de Base'!G29</f>
        <v>13.4</v>
      </c>
      <c r="L30" s="148">
        <f>'Ano 0 - Linha de Base'!I29</f>
        <v>15.7</v>
      </c>
      <c r="M30" s="152">
        <f>'Ano 0 - Linha de Base'!J29</f>
        <v>0.51100000000000001</v>
      </c>
      <c r="O30" s="147">
        <f>'Ano 0 - Linha de Base'!D29</f>
        <v>21.7</v>
      </c>
      <c r="P30" s="148">
        <f>'Ano 0 - Linha de Base'!E29</f>
        <v>30.9</v>
      </c>
      <c r="Q30" s="148">
        <f>'Ano 0 - Linha de Base'!I29</f>
        <v>15.7</v>
      </c>
      <c r="R30" s="152">
        <f>'Ano 0 - Linha de Base'!J29</f>
        <v>0.51100000000000001</v>
      </c>
      <c r="T30" s="147">
        <f>'Ano 0 - Linha de Base'!D29</f>
        <v>21.7</v>
      </c>
      <c r="U30" s="148">
        <f>'Ano 0 - Linha de Base'!E29</f>
        <v>30.9</v>
      </c>
      <c r="V30" s="155">
        <f>'Ano 0 - Linha de Base'!I29</f>
        <v>15.7</v>
      </c>
      <c r="X30" s="162">
        <f>'Ano 0 - Linha de Base'!D29</f>
        <v>21.7</v>
      </c>
      <c r="Y30" s="162">
        <f>'Ano 0 - Linha de Base'!E29</f>
        <v>30.9</v>
      </c>
      <c r="Z30" s="162">
        <f>'Ano 0 - Linha de Base'!I29</f>
        <v>15.7</v>
      </c>
      <c r="AA30" s="233">
        <f>'Ano 0 - Linha de Base'!J29-('4.1d Dependência Temp-UR'!$C$6+'4.1d Dependência Temp-UR'!$C$7*'Ano 0 - Linha de Base'!I29)</f>
        <v>-1.3080268302377185E-2</v>
      </c>
      <c r="AC30" s="162">
        <f>'Ano 0 - Linha de Base'!D29</f>
        <v>21.7</v>
      </c>
      <c r="AD30" s="162">
        <f>'Ano 0 - Linha de Base'!E29</f>
        <v>30.9</v>
      </c>
      <c r="AE30" s="162">
        <f>'Ano 0 - Linha de Base'!J29</f>
        <v>0.51100000000000001</v>
      </c>
    </row>
    <row r="31" spans="2:31" x14ac:dyDescent="0.3">
      <c r="B31" s="140">
        <f>'Ano 0 - Linha de Base'!D30</f>
        <v>22</v>
      </c>
      <c r="C31" s="21">
        <f>'Ano 0 - Linha de Base'!E30</f>
        <v>38.200000000000003</v>
      </c>
      <c r="D31" s="21">
        <f>'Ano 0 - Linha de Base'!F30</f>
        <v>78.3</v>
      </c>
      <c r="E31" s="21">
        <f>'Ano 0 - Linha de Base'!G30</f>
        <v>12.5</v>
      </c>
      <c r="F31" s="21">
        <f>'Ano 0 - Linha de Base'!I30</f>
        <v>15.9</v>
      </c>
      <c r="G31" s="141">
        <f>'Ano 0 - Linha de Base'!J30</f>
        <v>0.53400000000000003</v>
      </c>
      <c r="I31" s="145">
        <f>'Ano 0 - Linha de Base'!D30</f>
        <v>22</v>
      </c>
      <c r="J31" s="146">
        <f>'Ano 0 - Linha de Base'!E30</f>
        <v>38.200000000000003</v>
      </c>
      <c r="K31" s="146">
        <f>'Ano 0 - Linha de Base'!G30</f>
        <v>12.5</v>
      </c>
      <c r="L31" s="146">
        <f>'Ano 0 - Linha de Base'!I30</f>
        <v>15.9</v>
      </c>
      <c r="M31" s="151">
        <f>'Ano 0 - Linha de Base'!J30</f>
        <v>0.53400000000000003</v>
      </c>
      <c r="O31" s="145">
        <f>'Ano 0 - Linha de Base'!D30</f>
        <v>22</v>
      </c>
      <c r="P31" s="146">
        <f>'Ano 0 - Linha de Base'!E30</f>
        <v>38.200000000000003</v>
      </c>
      <c r="Q31" s="146">
        <f>'Ano 0 - Linha de Base'!I30</f>
        <v>15.9</v>
      </c>
      <c r="R31" s="151">
        <f>'Ano 0 - Linha de Base'!J30</f>
        <v>0.53400000000000003</v>
      </c>
      <c r="T31" s="145">
        <f>'Ano 0 - Linha de Base'!D30</f>
        <v>22</v>
      </c>
      <c r="U31" s="146">
        <f>'Ano 0 - Linha de Base'!E30</f>
        <v>38.200000000000003</v>
      </c>
      <c r="V31" s="154">
        <f>'Ano 0 - Linha de Base'!I30</f>
        <v>15.9</v>
      </c>
      <c r="X31" s="162">
        <f>'Ano 0 - Linha de Base'!D30</f>
        <v>22</v>
      </c>
      <c r="Y31" s="162">
        <f>'Ano 0 - Linha de Base'!E30</f>
        <v>38.200000000000003</v>
      </c>
      <c r="Z31" s="162">
        <f>'Ano 0 - Linha de Base'!I30</f>
        <v>15.9</v>
      </c>
      <c r="AA31" s="233">
        <f>'Ano 0 - Linha de Base'!J30-('4.1d Dependência Temp-UR'!$C$6+'4.1d Dependência Temp-UR'!$C$7*'Ano 0 - Linha de Base'!I30)</f>
        <v>7.3692088961859747E-3</v>
      </c>
      <c r="AC31" s="162">
        <f>'Ano 0 - Linha de Base'!D30</f>
        <v>22</v>
      </c>
      <c r="AD31" s="162">
        <f>'Ano 0 - Linha de Base'!E30</f>
        <v>38.200000000000003</v>
      </c>
      <c r="AE31" s="162">
        <f>'Ano 0 - Linha de Base'!J30</f>
        <v>0.53400000000000003</v>
      </c>
    </row>
    <row r="32" spans="2:31" x14ac:dyDescent="0.3">
      <c r="B32" s="140">
        <f>'Ano 0 - Linha de Base'!D31</f>
        <v>21.3</v>
      </c>
      <c r="C32" s="21">
        <f>'Ano 0 - Linha de Base'!E31</f>
        <v>29.2</v>
      </c>
      <c r="D32" s="21">
        <f>'Ano 0 - Linha de Base'!F31</f>
        <v>80.599999999999994</v>
      </c>
      <c r="E32" s="21">
        <f>'Ano 0 - Linha de Base'!G31</f>
        <v>10.9</v>
      </c>
      <c r="F32" s="21">
        <f>'Ano 0 - Linha de Base'!I31</f>
        <v>15.9</v>
      </c>
      <c r="G32" s="141">
        <f>'Ano 0 - Linha de Base'!J31</f>
        <v>0.51600000000000001</v>
      </c>
      <c r="I32" s="147">
        <f>'Ano 0 - Linha de Base'!D31</f>
        <v>21.3</v>
      </c>
      <c r="J32" s="148">
        <f>'Ano 0 - Linha de Base'!E31</f>
        <v>29.2</v>
      </c>
      <c r="K32" s="148">
        <f>'Ano 0 - Linha de Base'!G31</f>
        <v>10.9</v>
      </c>
      <c r="L32" s="148">
        <f>'Ano 0 - Linha de Base'!I31</f>
        <v>15.9</v>
      </c>
      <c r="M32" s="152">
        <f>'Ano 0 - Linha de Base'!J31</f>
        <v>0.51600000000000001</v>
      </c>
      <c r="O32" s="147">
        <f>'Ano 0 - Linha de Base'!D31</f>
        <v>21.3</v>
      </c>
      <c r="P32" s="148">
        <f>'Ano 0 - Linha de Base'!E31</f>
        <v>29.2</v>
      </c>
      <c r="Q32" s="148">
        <f>'Ano 0 - Linha de Base'!I31</f>
        <v>15.9</v>
      </c>
      <c r="R32" s="152">
        <f>'Ano 0 - Linha de Base'!J31</f>
        <v>0.51600000000000001</v>
      </c>
      <c r="T32" s="147">
        <f>'Ano 0 - Linha de Base'!D31</f>
        <v>21.3</v>
      </c>
      <c r="U32" s="148">
        <f>'Ano 0 - Linha de Base'!E31</f>
        <v>29.2</v>
      </c>
      <c r="V32" s="155">
        <f>'Ano 0 - Linha de Base'!I31</f>
        <v>15.9</v>
      </c>
      <c r="X32" s="162">
        <f>'Ano 0 - Linha de Base'!D31</f>
        <v>21.3</v>
      </c>
      <c r="Y32" s="162">
        <f>'Ano 0 - Linha de Base'!E31</f>
        <v>29.2</v>
      </c>
      <c r="Z32" s="162">
        <f>'Ano 0 - Linha de Base'!I31</f>
        <v>15.9</v>
      </c>
      <c r="AA32" s="233">
        <f>'Ano 0 - Linha de Base'!J31-('4.1d Dependência Temp-UR'!$C$6+'4.1d Dependência Temp-UR'!$C$7*'Ano 0 - Linha de Base'!I31)</f>
        <v>-1.0630791103814041E-2</v>
      </c>
      <c r="AC32" s="162">
        <f>'Ano 0 - Linha de Base'!D31</f>
        <v>21.3</v>
      </c>
      <c r="AD32" s="162">
        <f>'Ano 0 - Linha de Base'!E31</f>
        <v>29.2</v>
      </c>
      <c r="AE32" s="162">
        <f>'Ano 0 - Linha de Base'!J31</f>
        <v>0.51600000000000001</v>
      </c>
    </row>
    <row r="33" spans="2:31" x14ac:dyDescent="0.3">
      <c r="B33" s="140">
        <f>'Ano 0 - Linha de Base'!D32</f>
        <v>27</v>
      </c>
      <c r="C33" s="21">
        <f>'Ano 0 - Linha de Base'!E32</f>
        <v>33.200000000000003</v>
      </c>
      <c r="D33" s="21">
        <f>'Ano 0 - Linha de Base'!F32</f>
        <v>83.9</v>
      </c>
      <c r="E33" s="21">
        <f>'Ano 0 - Linha de Base'!G32</f>
        <v>10.6</v>
      </c>
      <c r="F33" s="21">
        <f>'Ano 0 - Linha de Base'!I32</f>
        <v>14.6</v>
      </c>
      <c r="G33" s="141">
        <f>'Ano 0 - Linha de Base'!J32</f>
        <v>0.48</v>
      </c>
      <c r="I33" s="145">
        <f>'Ano 0 - Linha de Base'!D32</f>
        <v>27</v>
      </c>
      <c r="J33" s="146">
        <f>'Ano 0 - Linha de Base'!E32</f>
        <v>33.200000000000003</v>
      </c>
      <c r="K33" s="146">
        <f>'Ano 0 - Linha de Base'!G32</f>
        <v>10.6</v>
      </c>
      <c r="L33" s="146">
        <f>'Ano 0 - Linha de Base'!I32</f>
        <v>14.6</v>
      </c>
      <c r="M33" s="151">
        <f>'Ano 0 - Linha de Base'!J32</f>
        <v>0.48</v>
      </c>
      <c r="O33" s="145">
        <f>'Ano 0 - Linha de Base'!D32</f>
        <v>27</v>
      </c>
      <c r="P33" s="146">
        <f>'Ano 0 - Linha de Base'!E32</f>
        <v>33.200000000000003</v>
      </c>
      <c r="Q33" s="146">
        <f>'Ano 0 - Linha de Base'!I32</f>
        <v>14.6</v>
      </c>
      <c r="R33" s="151">
        <f>'Ano 0 - Linha de Base'!J32</f>
        <v>0.48</v>
      </c>
      <c r="T33" s="145">
        <f>'Ano 0 - Linha de Base'!D32</f>
        <v>27</v>
      </c>
      <c r="U33" s="146">
        <f>'Ano 0 - Linha de Base'!E32</f>
        <v>33.200000000000003</v>
      </c>
      <c r="V33" s="154">
        <f>'Ano 0 - Linha de Base'!I32</f>
        <v>14.6</v>
      </c>
      <c r="X33" s="162">
        <f>'Ano 0 - Linha de Base'!D32</f>
        <v>27</v>
      </c>
      <c r="Y33" s="162">
        <f>'Ano 0 - Linha de Base'!E32</f>
        <v>33.200000000000003</v>
      </c>
      <c r="Z33" s="162">
        <f>'Ano 0 - Linha de Base'!I32</f>
        <v>14.6</v>
      </c>
      <c r="AA33" s="233">
        <f>'Ano 0 - Linha de Base'!J32-('4.1d Dependência Temp-UR'!$C$6+'4.1d Dependência Temp-UR'!$C$7*'Ano 0 - Linha de Base'!I32)</f>
        <v>-3.00523928944747E-2</v>
      </c>
      <c r="AC33" s="162">
        <f>'Ano 0 - Linha de Base'!D32</f>
        <v>27</v>
      </c>
      <c r="AD33" s="162">
        <f>'Ano 0 - Linha de Base'!E32</f>
        <v>33.200000000000003</v>
      </c>
      <c r="AE33" s="162">
        <f>'Ano 0 - Linha de Base'!J32</f>
        <v>0.48</v>
      </c>
    </row>
    <row r="34" spans="2:31" x14ac:dyDescent="0.3">
      <c r="B34" s="140">
        <f>'Ano 0 - Linha de Base'!D33</f>
        <v>24.8</v>
      </c>
      <c r="C34" s="21">
        <f>'Ano 0 - Linha de Base'!E33</f>
        <v>34.9</v>
      </c>
      <c r="D34" s="21">
        <f>'Ano 0 - Linha de Base'!F33</f>
        <v>79.5</v>
      </c>
      <c r="E34" s="21">
        <f>'Ano 0 - Linha de Base'!G33</f>
        <v>12</v>
      </c>
      <c r="F34" s="21">
        <f>'Ano 0 - Linha de Base'!I33</f>
        <v>15.5</v>
      </c>
      <c r="G34" s="141">
        <f>'Ano 0 - Linha de Base'!J33</f>
        <v>0.52800000000000002</v>
      </c>
      <c r="I34" s="147">
        <f>'Ano 0 - Linha de Base'!D33</f>
        <v>24.8</v>
      </c>
      <c r="J34" s="148">
        <f>'Ano 0 - Linha de Base'!E33</f>
        <v>34.9</v>
      </c>
      <c r="K34" s="148">
        <f>'Ano 0 - Linha de Base'!G33</f>
        <v>12</v>
      </c>
      <c r="L34" s="148">
        <f>'Ano 0 - Linha de Base'!I33</f>
        <v>15.5</v>
      </c>
      <c r="M34" s="152">
        <f>'Ano 0 - Linha de Base'!J33</f>
        <v>0.52800000000000002</v>
      </c>
      <c r="O34" s="147">
        <f>'Ano 0 - Linha de Base'!D33</f>
        <v>24.8</v>
      </c>
      <c r="P34" s="148">
        <f>'Ano 0 - Linha de Base'!E33</f>
        <v>34.9</v>
      </c>
      <c r="Q34" s="148">
        <f>'Ano 0 - Linha de Base'!I33</f>
        <v>15.5</v>
      </c>
      <c r="R34" s="152">
        <f>'Ano 0 - Linha de Base'!J33</f>
        <v>0.52800000000000002</v>
      </c>
      <c r="T34" s="147">
        <f>'Ano 0 - Linha de Base'!D33</f>
        <v>24.8</v>
      </c>
      <c r="U34" s="148">
        <f>'Ano 0 - Linha de Base'!E33</f>
        <v>34.9</v>
      </c>
      <c r="V34" s="155">
        <f>'Ano 0 - Linha de Base'!I33</f>
        <v>15.5</v>
      </c>
      <c r="X34" s="162">
        <f>'Ano 0 - Linha de Base'!D33</f>
        <v>24.8</v>
      </c>
      <c r="Y34" s="162">
        <f>'Ano 0 - Linha de Base'!E33</f>
        <v>34.9</v>
      </c>
      <c r="Z34" s="162">
        <f>'Ano 0 - Linha de Base'!I33</f>
        <v>15.5</v>
      </c>
      <c r="AA34" s="233">
        <f>'Ano 0 - Linha de Base'!J33-('4.1d Dependência Temp-UR'!$C$6+'4.1d Dependência Temp-UR'!$C$7*'Ano 0 - Linha de Base'!I33)</f>
        <v>6.4702544990595801E-3</v>
      </c>
      <c r="AC34" s="162">
        <f>'Ano 0 - Linha de Base'!D33</f>
        <v>24.8</v>
      </c>
      <c r="AD34" s="162">
        <f>'Ano 0 - Linha de Base'!E33</f>
        <v>34.9</v>
      </c>
      <c r="AE34" s="162">
        <f>'Ano 0 - Linha de Base'!J33</f>
        <v>0.52800000000000002</v>
      </c>
    </row>
    <row r="35" spans="2:31" x14ac:dyDescent="0.3">
      <c r="B35" s="140">
        <f>'Ano 0 - Linha de Base'!D34</f>
        <v>20.5</v>
      </c>
      <c r="C35" s="21">
        <f>'Ano 0 - Linha de Base'!E34</f>
        <v>34.299999999999997</v>
      </c>
      <c r="D35" s="21">
        <f>'Ano 0 - Linha de Base'!F34</f>
        <v>78.3</v>
      </c>
      <c r="E35" s="21">
        <f>'Ano 0 - Linha de Base'!G34</f>
        <v>10.199999999999999</v>
      </c>
      <c r="F35" s="21">
        <f>'Ano 0 - Linha de Base'!I34</f>
        <v>14.6</v>
      </c>
      <c r="G35" s="141">
        <f>'Ano 0 - Linha de Base'!J34</f>
        <v>0.48299999999999998</v>
      </c>
      <c r="I35" s="145">
        <f>'Ano 0 - Linha de Base'!D34</f>
        <v>20.5</v>
      </c>
      <c r="J35" s="146">
        <f>'Ano 0 - Linha de Base'!E34</f>
        <v>34.299999999999997</v>
      </c>
      <c r="K35" s="146">
        <f>'Ano 0 - Linha de Base'!G34</f>
        <v>10.199999999999999</v>
      </c>
      <c r="L35" s="146">
        <f>'Ano 0 - Linha de Base'!I34</f>
        <v>14.6</v>
      </c>
      <c r="M35" s="151">
        <f>'Ano 0 - Linha de Base'!J34</f>
        <v>0.48299999999999998</v>
      </c>
      <c r="O35" s="145">
        <f>'Ano 0 - Linha de Base'!D34</f>
        <v>20.5</v>
      </c>
      <c r="P35" s="146">
        <f>'Ano 0 - Linha de Base'!E34</f>
        <v>34.299999999999997</v>
      </c>
      <c r="Q35" s="146">
        <f>'Ano 0 - Linha de Base'!I34</f>
        <v>14.6</v>
      </c>
      <c r="R35" s="151">
        <f>'Ano 0 - Linha de Base'!J34</f>
        <v>0.48299999999999998</v>
      </c>
      <c r="T35" s="145">
        <f>'Ano 0 - Linha de Base'!D34</f>
        <v>20.5</v>
      </c>
      <c r="U35" s="146">
        <f>'Ano 0 - Linha de Base'!E34</f>
        <v>34.299999999999997</v>
      </c>
      <c r="V35" s="154">
        <f>'Ano 0 - Linha de Base'!I34</f>
        <v>14.6</v>
      </c>
      <c r="X35" s="162">
        <f>'Ano 0 - Linha de Base'!D34</f>
        <v>20.5</v>
      </c>
      <c r="Y35" s="162">
        <f>'Ano 0 - Linha de Base'!E34</f>
        <v>34.299999999999997</v>
      </c>
      <c r="Z35" s="162">
        <f>'Ano 0 - Linha de Base'!I34</f>
        <v>14.6</v>
      </c>
      <c r="AA35" s="233">
        <f>'Ano 0 - Linha de Base'!J34-('4.1d Dependência Temp-UR'!$C$6+'4.1d Dependência Temp-UR'!$C$7*'Ano 0 - Linha de Base'!I34)</f>
        <v>-2.7052392894474697E-2</v>
      </c>
      <c r="AC35" s="162">
        <f>'Ano 0 - Linha de Base'!D34</f>
        <v>20.5</v>
      </c>
      <c r="AD35" s="162">
        <f>'Ano 0 - Linha de Base'!E34</f>
        <v>34.299999999999997</v>
      </c>
      <c r="AE35" s="162">
        <f>'Ano 0 - Linha de Base'!J34</f>
        <v>0.48299999999999998</v>
      </c>
    </row>
    <row r="36" spans="2:31" x14ac:dyDescent="0.3">
      <c r="B36" s="140">
        <f>'Ano 0 - Linha de Base'!D35</f>
        <v>24.9</v>
      </c>
      <c r="C36" s="21">
        <f>'Ano 0 - Linha de Base'!E35</f>
        <v>32.5</v>
      </c>
      <c r="D36" s="21">
        <f>'Ano 0 - Linha de Base'!F35</f>
        <v>83.1</v>
      </c>
      <c r="E36" s="21">
        <f>'Ano 0 - Linha de Base'!G35</f>
        <v>13.3</v>
      </c>
      <c r="F36" s="21">
        <f>'Ano 0 - Linha de Base'!I35</f>
        <v>14.8</v>
      </c>
      <c r="G36" s="141">
        <f>'Ano 0 - Linha de Base'!J35</f>
        <v>0.53200000000000003</v>
      </c>
      <c r="I36" s="147">
        <f>'Ano 0 - Linha de Base'!D35</f>
        <v>24.9</v>
      </c>
      <c r="J36" s="148">
        <f>'Ano 0 - Linha de Base'!E35</f>
        <v>32.5</v>
      </c>
      <c r="K36" s="148">
        <f>'Ano 0 - Linha de Base'!G35</f>
        <v>13.3</v>
      </c>
      <c r="L36" s="148">
        <f>'Ano 0 - Linha de Base'!I35</f>
        <v>14.8</v>
      </c>
      <c r="M36" s="152">
        <f>'Ano 0 - Linha de Base'!J35</f>
        <v>0.53200000000000003</v>
      </c>
      <c r="O36" s="147">
        <f>'Ano 0 - Linha de Base'!D35</f>
        <v>24.9</v>
      </c>
      <c r="P36" s="148">
        <f>'Ano 0 - Linha de Base'!E35</f>
        <v>32.5</v>
      </c>
      <c r="Q36" s="148">
        <f>'Ano 0 - Linha de Base'!I35</f>
        <v>14.8</v>
      </c>
      <c r="R36" s="152">
        <f>'Ano 0 - Linha de Base'!J35</f>
        <v>0.53200000000000003</v>
      </c>
      <c r="T36" s="147">
        <f>'Ano 0 - Linha de Base'!D35</f>
        <v>24.9</v>
      </c>
      <c r="U36" s="148">
        <f>'Ano 0 - Linha de Base'!E35</f>
        <v>32.5</v>
      </c>
      <c r="V36" s="155">
        <f>'Ano 0 - Linha de Base'!I35</f>
        <v>14.8</v>
      </c>
      <c r="X36" s="162">
        <f>'Ano 0 - Linha de Base'!D35</f>
        <v>24.9</v>
      </c>
      <c r="Y36" s="162">
        <f>'Ano 0 - Linha de Base'!E35</f>
        <v>32.5</v>
      </c>
      <c r="Z36" s="162">
        <f>'Ano 0 - Linha de Base'!I35</f>
        <v>14.8</v>
      </c>
      <c r="AA36" s="233">
        <f>'Ano 0 - Linha de Base'!J35-('4.1d Dependência Temp-UR'!$C$6+'4.1d Dependência Temp-UR'!$C$7*'Ano 0 - Linha de Base'!I35)</f>
        <v>1.9397084304088485E-2</v>
      </c>
      <c r="AC36" s="162">
        <f>'Ano 0 - Linha de Base'!D35</f>
        <v>24.9</v>
      </c>
      <c r="AD36" s="162">
        <f>'Ano 0 - Linha de Base'!E35</f>
        <v>32.5</v>
      </c>
      <c r="AE36" s="162">
        <f>'Ano 0 - Linha de Base'!J35</f>
        <v>0.53200000000000003</v>
      </c>
    </row>
    <row r="37" spans="2:31" x14ac:dyDescent="0.3">
      <c r="B37" s="140">
        <f>'Ano 0 - Linha de Base'!D36</f>
        <v>23.6</v>
      </c>
      <c r="C37" s="21">
        <f>'Ano 0 - Linha de Base'!E36</f>
        <v>33.6</v>
      </c>
      <c r="D37" s="21">
        <f>'Ano 0 - Linha de Base'!F36</f>
        <v>83.1</v>
      </c>
      <c r="E37" s="21">
        <f>'Ano 0 - Linha de Base'!G36</f>
        <v>12.7</v>
      </c>
      <c r="F37" s="21">
        <f>'Ano 0 - Linha de Base'!I36</f>
        <v>14.6</v>
      </c>
      <c r="G37" s="141">
        <f>'Ano 0 - Linha de Base'!J36</f>
        <v>0.48799999999999999</v>
      </c>
      <c r="I37" s="145">
        <f>'Ano 0 - Linha de Base'!D36</f>
        <v>23.6</v>
      </c>
      <c r="J37" s="146">
        <f>'Ano 0 - Linha de Base'!E36</f>
        <v>33.6</v>
      </c>
      <c r="K37" s="146">
        <f>'Ano 0 - Linha de Base'!G36</f>
        <v>12.7</v>
      </c>
      <c r="L37" s="146">
        <f>'Ano 0 - Linha de Base'!I36</f>
        <v>14.6</v>
      </c>
      <c r="M37" s="151">
        <f>'Ano 0 - Linha de Base'!J36</f>
        <v>0.48799999999999999</v>
      </c>
      <c r="O37" s="145">
        <f>'Ano 0 - Linha de Base'!D36</f>
        <v>23.6</v>
      </c>
      <c r="P37" s="146">
        <f>'Ano 0 - Linha de Base'!E36</f>
        <v>33.6</v>
      </c>
      <c r="Q37" s="146">
        <f>'Ano 0 - Linha de Base'!I36</f>
        <v>14.6</v>
      </c>
      <c r="R37" s="151">
        <f>'Ano 0 - Linha de Base'!J36</f>
        <v>0.48799999999999999</v>
      </c>
      <c r="T37" s="145">
        <f>'Ano 0 - Linha de Base'!D36</f>
        <v>23.6</v>
      </c>
      <c r="U37" s="146">
        <f>'Ano 0 - Linha de Base'!E36</f>
        <v>33.6</v>
      </c>
      <c r="V37" s="154">
        <f>'Ano 0 - Linha de Base'!I36</f>
        <v>14.6</v>
      </c>
      <c r="X37" s="162">
        <f>'Ano 0 - Linha de Base'!D36</f>
        <v>23.6</v>
      </c>
      <c r="Y37" s="162">
        <f>'Ano 0 - Linha de Base'!E36</f>
        <v>33.6</v>
      </c>
      <c r="Z37" s="162">
        <f>'Ano 0 - Linha de Base'!I36</f>
        <v>14.6</v>
      </c>
      <c r="AA37" s="233">
        <f>'Ano 0 - Linha de Base'!J36-('4.1d Dependência Temp-UR'!$C$6+'4.1d Dependência Temp-UR'!$C$7*'Ano 0 - Linha de Base'!I36)</f>
        <v>-2.2052392894474693E-2</v>
      </c>
      <c r="AC37" s="162">
        <f>'Ano 0 - Linha de Base'!D36</f>
        <v>23.6</v>
      </c>
      <c r="AD37" s="162">
        <f>'Ano 0 - Linha de Base'!E36</f>
        <v>33.6</v>
      </c>
      <c r="AE37" s="162">
        <f>'Ano 0 - Linha de Base'!J36</f>
        <v>0.48799999999999999</v>
      </c>
    </row>
    <row r="38" spans="2:31" x14ac:dyDescent="0.3">
      <c r="B38" s="140">
        <f>'Ano 0 - Linha de Base'!D37</f>
        <v>26.5</v>
      </c>
      <c r="C38" s="21">
        <f>'Ano 0 - Linha de Base'!E37</f>
        <v>33.200000000000003</v>
      </c>
      <c r="D38" s="21">
        <f>'Ano 0 - Linha de Base'!F37</f>
        <v>79.7</v>
      </c>
      <c r="E38" s="21">
        <f>'Ano 0 - Linha de Base'!G37</f>
        <v>11</v>
      </c>
      <c r="F38" s="21">
        <f>'Ano 0 - Linha de Base'!I37</f>
        <v>16.7</v>
      </c>
      <c r="G38" s="141">
        <f>'Ano 0 - Linha de Base'!J37</f>
        <v>0.58699999999999997</v>
      </c>
      <c r="I38" s="147">
        <f>'Ano 0 - Linha de Base'!D37</f>
        <v>26.5</v>
      </c>
      <c r="J38" s="148">
        <f>'Ano 0 - Linha de Base'!E37</f>
        <v>33.200000000000003</v>
      </c>
      <c r="K38" s="148">
        <f>'Ano 0 - Linha de Base'!G37</f>
        <v>11</v>
      </c>
      <c r="L38" s="148">
        <f>'Ano 0 - Linha de Base'!I37</f>
        <v>16.7</v>
      </c>
      <c r="M38" s="152">
        <f>'Ano 0 - Linha de Base'!J37</f>
        <v>0.58699999999999997</v>
      </c>
      <c r="O38" s="147">
        <f>'Ano 0 - Linha de Base'!D37</f>
        <v>26.5</v>
      </c>
      <c r="P38" s="148">
        <f>'Ano 0 - Linha de Base'!E37</f>
        <v>33.200000000000003</v>
      </c>
      <c r="Q38" s="148">
        <f>'Ano 0 - Linha de Base'!I37</f>
        <v>16.7</v>
      </c>
      <c r="R38" s="152">
        <f>'Ano 0 - Linha de Base'!J37</f>
        <v>0.58699999999999997</v>
      </c>
      <c r="T38" s="147">
        <f>'Ano 0 - Linha de Base'!D37</f>
        <v>26.5</v>
      </c>
      <c r="U38" s="148">
        <f>'Ano 0 - Linha de Base'!E37</f>
        <v>33.200000000000003</v>
      </c>
      <c r="V38" s="155">
        <f>'Ano 0 - Linha de Base'!I37</f>
        <v>16.7</v>
      </c>
      <c r="X38" s="162">
        <f>'Ano 0 - Linha de Base'!D37</f>
        <v>26.5</v>
      </c>
      <c r="Y38" s="162">
        <f>'Ano 0 - Linha de Base'!E37</f>
        <v>33.200000000000003</v>
      </c>
      <c r="Z38" s="162">
        <f>'Ano 0 - Linha de Base'!I37</f>
        <v>16.7</v>
      </c>
      <c r="AA38" s="233">
        <f>'Ano 0 - Linha de Base'!J37-('4.1d Dependência Temp-UR'!$C$6+'4.1d Dependência Temp-UR'!$C$7*'Ano 0 - Linha de Base'!I37)</f>
        <v>5.0167117690438578E-2</v>
      </c>
      <c r="AC38" s="162">
        <f>'Ano 0 - Linha de Base'!D37</f>
        <v>26.5</v>
      </c>
      <c r="AD38" s="162">
        <f>'Ano 0 - Linha de Base'!E37</f>
        <v>33.200000000000003</v>
      </c>
      <c r="AE38" s="162">
        <f>'Ano 0 - Linha de Base'!J37</f>
        <v>0.58699999999999997</v>
      </c>
    </row>
    <row r="39" spans="2:31" x14ac:dyDescent="0.3">
      <c r="B39" s="140">
        <f>'Ano 0 - Linha de Base'!D38</f>
        <v>23.6</v>
      </c>
      <c r="C39" s="21">
        <f>'Ano 0 - Linha de Base'!E38</f>
        <v>33.200000000000003</v>
      </c>
      <c r="D39" s="21">
        <f>'Ano 0 - Linha de Base'!F38</f>
        <v>79.900000000000006</v>
      </c>
      <c r="E39" s="21">
        <f>'Ano 0 - Linha de Base'!G38</f>
        <v>9.8000000000000007</v>
      </c>
      <c r="F39" s="21">
        <f>'Ano 0 - Linha de Base'!I38</f>
        <v>15.5</v>
      </c>
      <c r="G39" s="141">
        <f>'Ano 0 - Linha de Base'!J38</f>
        <v>0.503</v>
      </c>
      <c r="I39" s="145">
        <f>'Ano 0 - Linha de Base'!D38</f>
        <v>23.6</v>
      </c>
      <c r="J39" s="146">
        <f>'Ano 0 - Linha de Base'!E38</f>
        <v>33.200000000000003</v>
      </c>
      <c r="K39" s="146">
        <f>'Ano 0 - Linha de Base'!G38</f>
        <v>9.8000000000000007</v>
      </c>
      <c r="L39" s="146">
        <f>'Ano 0 - Linha de Base'!I38</f>
        <v>15.5</v>
      </c>
      <c r="M39" s="151">
        <f>'Ano 0 - Linha de Base'!J38</f>
        <v>0.503</v>
      </c>
      <c r="O39" s="145">
        <f>'Ano 0 - Linha de Base'!D38</f>
        <v>23.6</v>
      </c>
      <c r="P39" s="146">
        <f>'Ano 0 - Linha de Base'!E38</f>
        <v>33.200000000000003</v>
      </c>
      <c r="Q39" s="146">
        <f>'Ano 0 - Linha de Base'!I38</f>
        <v>15.5</v>
      </c>
      <c r="R39" s="151">
        <f>'Ano 0 - Linha de Base'!J38</f>
        <v>0.503</v>
      </c>
      <c r="T39" s="145">
        <f>'Ano 0 - Linha de Base'!D38</f>
        <v>23.6</v>
      </c>
      <c r="U39" s="146">
        <f>'Ano 0 - Linha de Base'!E38</f>
        <v>33.200000000000003</v>
      </c>
      <c r="V39" s="154">
        <f>'Ano 0 - Linha de Base'!I38</f>
        <v>15.5</v>
      </c>
      <c r="X39" s="162">
        <f>'Ano 0 - Linha de Base'!D38</f>
        <v>23.6</v>
      </c>
      <c r="Y39" s="162">
        <f>'Ano 0 - Linha de Base'!E38</f>
        <v>33.200000000000003</v>
      </c>
      <c r="Z39" s="162">
        <f>'Ano 0 - Linha de Base'!I38</f>
        <v>15.5</v>
      </c>
      <c r="AA39" s="233">
        <f>'Ano 0 - Linha de Base'!J38-('4.1d Dependência Temp-UR'!$C$6+'4.1d Dependência Temp-UR'!$C$7*'Ano 0 - Linha de Base'!I38)</f>
        <v>-1.8529745500940442E-2</v>
      </c>
      <c r="AC39" s="162">
        <f>'Ano 0 - Linha de Base'!D38</f>
        <v>23.6</v>
      </c>
      <c r="AD39" s="162">
        <f>'Ano 0 - Linha de Base'!E38</f>
        <v>33.200000000000003</v>
      </c>
      <c r="AE39" s="162">
        <f>'Ano 0 - Linha de Base'!J38</f>
        <v>0.503</v>
      </c>
    </row>
    <row r="40" spans="2:31" x14ac:dyDescent="0.3">
      <c r="B40" s="140">
        <f>'Ano 0 - Linha de Base'!D39</f>
        <v>24.6</v>
      </c>
      <c r="C40" s="21">
        <f>'Ano 0 - Linha de Base'!E39</f>
        <v>36.700000000000003</v>
      </c>
      <c r="D40" s="21">
        <f>'Ano 0 - Linha de Base'!F39</f>
        <v>83</v>
      </c>
      <c r="E40" s="21">
        <f>'Ano 0 - Linha de Base'!G39</f>
        <v>12.9</v>
      </c>
      <c r="F40" s="21">
        <f>'Ano 0 - Linha de Base'!I39</f>
        <v>15</v>
      </c>
      <c r="G40" s="141">
        <f>'Ano 0 - Linha de Base'!J39</f>
        <v>0.51</v>
      </c>
      <c r="I40" s="147">
        <f>'Ano 0 - Linha de Base'!D39</f>
        <v>24.6</v>
      </c>
      <c r="J40" s="148">
        <f>'Ano 0 - Linha de Base'!E39</f>
        <v>36.700000000000003</v>
      </c>
      <c r="K40" s="148">
        <f>'Ano 0 - Linha de Base'!G39</f>
        <v>12.9</v>
      </c>
      <c r="L40" s="148">
        <f>'Ano 0 - Linha de Base'!I39</f>
        <v>15</v>
      </c>
      <c r="M40" s="152">
        <f>'Ano 0 - Linha de Base'!J39</f>
        <v>0.51</v>
      </c>
      <c r="O40" s="147">
        <f>'Ano 0 - Linha de Base'!D39</f>
        <v>24.6</v>
      </c>
      <c r="P40" s="148">
        <f>'Ano 0 - Linha de Base'!E39</f>
        <v>36.700000000000003</v>
      </c>
      <c r="Q40" s="148">
        <f>'Ano 0 - Linha de Base'!I39</f>
        <v>15</v>
      </c>
      <c r="R40" s="152">
        <f>'Ano 0 - Linha de Base'!J39</f>
        <v>0.51</v>
      </c>
      <c r="T40" s="147">
        <f>'Ano 0 - Linha de Base'!D39</f>
        <v>24.6</v>
      </c>
      <c r="U40" s="148">
        <f>'Ano 0 - Linha de Base'!E39</f>
        <v>36.700000000000003</v>
      </c>
      <c r="V40" s="155">
        <f>'Ano 0 - Linha de Base'!I39</f>
        <v>15</v>
      </c>
      <c r="X40" s="162">
        <f>'Ano 0 - Linha de Base'!D39</f>
        <v>24.6</v>
      </c>
      <c r="Y40" s="162">
        <f>'Ano 0 - Linha de Base'!E39</f>
        <v>36.700000000000003</v>
      </c>
      <c r="Z40" s="162">
        <f>'Ano 0 - Linha de Base'!I39</f>
        <v>15</v>
      </c>
      <c r="AA40" s="233">
        <f>'Ano 0 - Linha de Base'!J39-('4.1d Dependência Temp-UR'!$C$6+'4.1d Dependência Temp-UR'!$C$7*'Ano 0 - Linha de Base'!I39)</f>
        <v>-5.1534384973483949E-3</v>
      </c>
      <c r="AC40" s="162">
        <f>'Ano 0 - Linha de Base'!D39</f>
        <v>24.6</v>
      </c>
      <c r="AD40" s="162">
        <f>'Ano 0 - Linha de Base'!E39</f>
        <v>36.700000000000003</v>
      </c>
      <c r="AE40" s="162">
        <f>'Ano 0 - Linha de Base'!J39</f>
        <v>0.51</v>
      </c>
    </row>
    <row r="41" spans="2:31" x14ac:dyDescent="0.3">
      <c r="B41" s="140">
        <f>'Ano 0 - Linha de Base'!D40</f>
        <v>25.5</v>
      </c>
      <c r="C41" s="21">
        <f>'Ano 0 - Linha de Base'!E40</f>
        <v>35.9</v>
      </c>
      <c r="D41" s="21">
        <f>'Ano 0 - Linha de Base'!F40</f>
        <v>75.5</v>
      </c>
      <c r="E41" s="21">
        <f>'Ano 0 - Linha de Base'!G40</f>
        <v>11.4</v>
      </c>
      <c r="F41" s="21">
        <f>'Ano 0 - Linha de Base'!I40</f>
        <v>17</v>
      </c>
      <c r="G41" s="141">
        <f>'Ano 0 - Linha de Base'!J40</f>
        <v>0.56799999999999995</v>
      </c>
      <c r="I41" s="145">
        <f>'Ano 0 - Linha de Base'!D40</f>
        <v>25.5</v>
      </c>
      <c r="J41" s="146">
        <f>'Ano 0 - Linha de Base'!E40</f>
        <v>35.9</v>
      </c>
      <c r="K41" s="146">
        <f>'Ano 0 - Linha de Base'!G40</f>
        <v>11.4</v>
      </c>
      <c r="L41" s="146">
        <f>'Ano 0 - Linha de Base'!I40</f>
        <v>17</v>
      </c>
      <c r="M41" s="151">
        <f>'Ano 0 - Linha de Base'!J40</f>
        <v>0.56799999999999995</v>
      </c>
      <c r="O41" s="145">
        <f>'Ano 0 - Linha de Base'!D40</f>
        <v>25.5</v>
      </c>
      <c r="P41" s="146">
        <f>'Ano 0 - Linha de Base'!E40</f>
        <v>35.9</v>
      </c>
      <c r="Q41" s="146">
        <f>'Ano 0 - Linha de Base'!I40</f>
        <v>17</v>
      </c>
      <c r="R41" s="151">
        <f>'Ano 0 - Linha de Base'!J40</f>
        <v>0.56799999999999995</v>
      </c>
      <c r="T41" s="145">
        <f>'Ano 0 - Linha de Base'!D40</f>
        <v>25.5</v>
      </c>
      <c r="U41" s="146">
        <f>'Ano 0 - Linha de Base'!E40</f>
        <v>35.9</v>
      </c>
      <c r="V41" s="154">
        <f>'Ano 0 - Linha de Base'!I40</f>
        <v>17</v>
      </c>
      <c r="X41" s="162">
        <f>'Ano 0 - Linha de Base'!D40</f>
        <v>25.5</v>
      </c>
      <c r="Y41" s="162">
        <f>'Ano 0 - Linha de Base'!E40</f>
        <v>35.9</v>
      </c>
      <c r="Z41" s="162">
        <f>'Ano 0 - Linha de Base'!I40</f>
        <v>17</v>
      </c>
      <c r="AA41" s="233">
        <f>'Ano 0 - Linha de Base'!J40-('4.1d Dependência Temp-UR'!$C$6+'4.1d Dependência Temp-UR'!$C$7*'Ano 0 - Linha de Base'!I40)</f>
        <v>2.7341333488283381E-2</v>
      </c>
      <c r="AC41" s="162">
        <f>'Ano 0 - Linha de Base'!D40</f>
        <v>25.5</v>
      </c>
      <c r="AD41" s="162">
        <f>'Ano 0 - Linha de Base'!E40</f>
        <v>35.9</v>
      </c>
      <c r="AE41" s="162">
        <f>'Ano 0 - Linha de Base'!J40</f>
        <v>0.56799999999999995</v>
      </c>
    </row>
    <row r="42" spans="2:31" x14ac:dyDescent="0.3">
      <c r="B42" s="140">
        <f>'Ano 0 - Linha de Base'!D41</f>
        <v>25.7</v>
      </c>
      <c r="C42" s="21">
        <f>'Ano 0 - Linha de Base'!E41</f>
        <v>33.9</v>
      </c>
      <c r="D42" s="21">
        <f>'Ano 0 - Linha de Base'!F41</f>
        <v>75.7</v>
      </c>
      <c r="E42" s="21">
        <f>'Ano 0 - Linha de Base'!G41</f>
        <v>12.7</v>
      </c>
      <c r="F42" s="21">
        <f>'Ano 0 - Linha de Base'!I41</f>
        <v>15.9</v>
      </c>
      <c r="G42" s="141">
        <f>'Ano 0 - Linha de Base'!J41</f>
        <v>0.49399999999999999</v>
      </c>
      <c r="I42" s="147">
        <f>'Ano 0 - Linha de Base'!D41</f>
        <v>25.7</v>
      </c>
      <c r="J42" s="148">
        <f>'Ano 0 - Linha de Base'!E41</f>
        <v>33.9</v>
      </c>
      <c r="K42" s="148">
        <f>'Ano 0 - Linha de Base'!G41</f>
        <v>12.7</v>
      </c>
      <c r="L42" s="148">
        <f>'Ano 0 - Linha de Base'!I41</f>
        <v>15.9</v>
      </c>
      <c r="M42" s="152">
        <f>'Ano 0 - Linha de Base'!J41</f>
        <v>0.49399999999999999</v>
      </c>
      <c r="O42" s="147">
        <f>'Ano 0 - Linha de Base'!D41</f>
        <v>25.7</v>
      </c>
      <c r="P42" s="148">
        <f>'Ano 0 - Linha de Base'!E41</f>
        <v>33.9</v>
      </c>
      <c r="Q42" s="148">
        <f>'Ano 0 - Linha de Base'!I41</f>
        <v>15.9</v>
      </c>
      <c r="R42" s="152">
        <f>'Ano 0 - Linha de Base'!J41</f>
        <v>0.49399999999999999</v>
      </c>
      <c r="T42" s="147">
        <f>'Ano 0 - Linha de Base'!D41</f>
        <v>25.7</v>
      </c>
      <c r="U42" s="148">
        <f>'Ano 0 - Linha de Base'!E41</f>
        <v>33.9</v>
      </c>
      <c r="V42" s="155">
        <f>'Ano 0 - Linha de Base'!I41</f>
        <v>15.9</v>
      </c>
      <c r="X42" s="162">
        <f>'Ano 0 - Linha de Base'!D41</f>
        <v>25.7</v>
      </c>
      <c r="Y42" s="162">
        <f>'Ano 0 - Linha de Base'!E41</f>
        <v>33.9</v>
      </c>
      <c r="Z42" s="162">
        <f>'Ano 0 - Linha de Base'!I41</f>
        <v>15.9</v>
      </c>
      <c r="AA42" s="233">
        <f>'Ano 0 - Linha de Base'!J41-('4.1d Dependência Temp-UR'!$C$6+'4.1d Dependência Temp-UR'!$C$7*'Ano 0 - Linha de Base'!I41)</f>
        <v>-3.2630791103814061E-2</v>
      </c>
      <c r="AC42" s="162">
        <f>'Ano 0 - Linha de Base'!D41</f>
        <v>25.7</v>
      </c>
      <c r="AD42" s="162">
        <f>'Ano 0 - Linha de Base'!E41</f>
        <v>33.9</v>
      </c>
      <c r="AE42" s="162">
        <f>'Ano 0 - Linha de Base'!J41</f>
        <v>0.49399999999999999</v>
      </c>
    </row>
    <row r="43" spans="2:31" x14ac:dyDescent="0.3">
      <c r="B43" s="140">
        <f>'Ano 0 - Linha de Base'!D42</f>
        <v>21.5</v>
      </c>
      <c r="C43" s="21">
        <f>'Ano 0 - Linha de Base'!E42</f>
        <v>37.799999999999997</v>
      </c>
      <c r="D43" s="21">
        <f>'Ano 0 - Linha de Base'!F42</f>
        <v>78.8</v>
      </c>
      <c r="E43" s="21">
        <f>'Ano 0 - Linha de Base'!G42</f>
        <v>9.9</v>
      </c>
      <c r="F43" s="21">
        <f>'Ano 0 - Linha de Base'!I42</f>
        <v>17.7</v>
      </c>
      <c r="G43" s="141">
        <f>'Ano 0 - Linha de Base'!J42</f>
        <v>0.55900000000000005</v>
      </c>
      <c r="I43" s="145">
        <f>'Ano 0 - Linha de Base'!D42</f>
        <v>21.5</v>
      </c>
      <c r="J43" s="146">
        <f>'Ano 0 - Linha de Base'!E42</f>
        <v>37.799999999999997</v>
      </c>
      <c r="K43" s="146">
        <f>'Ano 0 - Linha de Base'!G42</f>
        <v>9.9</v>
      </c>
      <c r="L43" s="146">
        <f>'Ano 0 - Linha de Base'!I42</f>
        <v>17.7</v>
      </c>
      <c r="M43" s="151">
        <f>'Ano 0 - Linha de Base'!J42</f>
        <v>0.55900000000000005</v>
      </c>
      <c r="O43" s="145">
        <f>'Ano 0 - Linha de Base'!D42</f>
        <v>21.5</v>
      </c>
      <c r="P43" s="146">
        <f>'Ano 0 - Linha de Base'!E42</f>
        <v>37.799999999999997</v>
      </c>
      <c r="Q43" s="146">
        <f>'Ano 0 - Linha de Base'!I42</f>
        <v>17.7</v>
      </c>
      <c r="R43" s="151">
        <f>'Ano 0 - Linha de Base'!J42</f>
        <v>0.55900000000000005</v>
      </c>
      <c r="T43" s="145">
        <f>'Ano 0 - Linha de Base'!D42</f>
        <v>21.5</v>
      </c>
      <c r="U43" s="146">
        <f>'Ano 0 - Linha de Base'!E42</f>
        <v>37.799999999999997</v>
      </c>
      <c r="V43" s="154">
        <f>'Ano 0 - Linha de Base'!I42</f>
        <v>17.7</v>
      </c>
      <c r="X43" s="162">
        <f>'Ano 0 - Linha de Base'!D42</f>
        <v>21.5</v>
      </c>
      <c r="Y43" s="162">
        <f>'Ano 0 - Linha de Base'!E42</f>
        <v>37.799999999999997</v>
      </c>
      <c r="Z43" s="162">
        <f>'Ano 0 - Linha de Base'!I42</f>
        <v>17.7</v>
      </c>
      <c r="AA43" s="233">
        <f>'Ano 0 - Linha de Base'!J42-('4.1d Dependência Temp-UR'!$C$6+'4.1d Dependência Temp-UR'!$C$7*'Ano 0 - Linha de Base'!I42)</f>
        <v>9.4145036832545825E-3</v>
      </c>
      <c r="AC43" s="162">
        <f>'Ano 0 - Linha de Base'!D42</f>
        <v>21.5</v>
      </c>
      <c r="AD43" s="162">
        <f>'Ano 0 - Linha de Base'!E42</f>
        <v>37.799999999999997</v>
      </c>
      <c r="AE43" s="162">
        <f>'Ano 0 - Linha de Base'!J42</f>
        <v>0.55900000000000005</v>
      </c>
    </row>
    <row r="44" spans="2:31" x14ac:dyDescent="0.3">
      <c r="B44" s="140">
        <f>'Ano 0 - Linha de Base'!D43</f>
        <v>22.5</v>
      </c>
      <c r="C44" s="21">
        <f>'Ano 0 - Linha de Base'!E43</f>
        <v>36.799999999999997</v>
      </c>
      <c r="D44" s="21">
        <f>'Ano 0 - Linha de Base'!F43</f>
        <v>81</v>
      </c>
      <c r="E44" s="21">
        <f>'Ano 0 - Linha de Base'!G43</f>
        <v>10.9</v>
      </c>
      <c r="F44" s="21">
        <f>'Ano 0 - Linha de Base'!I43</f>
        <v>16.7</v>
      </c>
      <c r="G44" s="141">
        <f>'Ano 0 - Linha de Base'!J43</f>
        <v>0.57999999999999996</v>
      </c>
      <c r="I44" s="147">
        <f>'Ano 0 - Linha de Base'!D43</f>
        <v>22.5</v>
      </c>
      <c r="J44" s="148">
        <f>'Ano 0 - Linha de Base'!E43</f>
        <v>36.799999999999997</v>
      </c>
      <c r="K44" s="148">
        <f>'Ano 0 - Linha de Base'!G43</f>
        <v>10.9</v>
      </c>
      <c r="L44" s="148">
        <f>'Ano 0 - Linha de Base'!I43</f>
        <v>16.7</v>
      </c>
      <c r="M44" s="152">
        <f>'Ano 0 - Linha de Base'!J43</f>
        <v>0.57999999999999996</v>
      </c>
      <c r="O44" s="147">
        <f>'Ano 0 - Linha de Base'!D43</f>
        <v>22.5</v>
      </c>
      <c r="P44" s="148">
        <f>'Ano 0 - Linha de Base'!E43</f>
        <v>36.799999999999997</v>
      </c>
      <c r="Q44" s="148">
        <f>'Ano 0 - Linha de Base'!I43</f>
        <v>16.7</v>
      </c>
      <c r="R44" s="152">
        <f>'Ano 0 - Linha de Base'!J43</f>
        <v>0.57999999999999996</v>
      </c>
      <c r="T44" s="147">
        <f>'Ano 0 - Linha de Base'!D43</f>
        <v>22.5</v>
      </c>
      <c r="U44" s="148">
        <f>'Ano 0 - Linha de Base'!E43</f>
        <v>36.799999999999997</v>
      </c>
      <c r="V44" s="155">
        <f>'Ano 0 - Linha de Base'!I43</f>
        <v>16.7</v>
      </c>
      <c r="X44" s="162">
        <f>'Ano 0 - Linha de Base'!D43</f>
        <v>22.5</v>
      </c>
      <c r="Y44" s="162">
        <f>'Ano 0 - Linha de Base'!E43</f>
        <v>36.799999999999997</v>
      </c>
      <c r="Z44" s="162">
        <f>'Ano 0 - Linha de Base'!I43</f>
        <v>16.7</v>
      </c>
      <c r="AA44" s="233">
        <f>'Ano 0 - Linha de Base'!J43-('4.1d Dependência Temp-UR'!$C$6+'4.1d Dependência Temp-UR'!$C$7*'Ano 0 - Linha de Base'!I43)</f>
        <v>4.3167117690438572E-2</v>
      </c>
      <c r="AC44" s="162">
        <f>'Ano 0 - Linha de Base'!D43</f>
        <v>22.5</v>
      </c>
      <c r="AD44" s="162">
        <f>'Ano 0 - Linha de Base'!E43</f>
        <v>36.799999999999997</v>
      </c>
      <c r="AE44" s="162">
        <f>'Ano 0 - Linha de Base'!J43</f>
        <v>0.57999999999999996</v>
      </c>
    </row>
    <row r="45" spans="2:31" x14ac:dyDescent="0.3">
      <c r="B45" s="140">
        <f>'Ano 0 - Linha de Base'!D44</f>
        <v>21.6</v>
      </c>
      <c r="C45" s="21">
        <f>'Ano 0 - Linha de Base'!E44</f>
        <v>38.299999999999997</v>
      </c>
      <c r="D45" s="21">
        <f>'Ano 0 - Linha de Base'!F44</f>
        <v>83.4</v>
      </c>
      <c r="E45" s="21">
        <f>'Ano 0 - Linha de Base'!G44</f>
        <v>11.5</v>
      </c>
      <c r="F45" s="21">
        <f>'Ano 0 - Linha de Base'!I44</f>
        <v>18</v>
      </c>
      <c r="G45" s="141">
        <f>'Ano 0 - Linha de Base'!J44</f>
        <v>0.50800000000000001</v>
      </c>
      <c r="I45" s="145">
        <f>'Ano 0 - Linha de Base'!D44</f>
        <v>21.6</v>
      </c>
      <c r="J45" s="146">
        <f>'Ano 0 - Linha de Base'!E44</f>
        <v>38.299999999999997</v>
      </c>
      <c r="K45" s="146">
        <f>'Ano 0 - Linha de Base'!G44</f>
        <v>11.5</v>
      </c>
      <c r="L45" s="146">
        <f>'Ano 0 - Linha de Base'!I44</f>
        <v>18</v>
      </c>
      <c r="M45" s="151">
        <f>'Ano 0 - Linha de Base'!J44</f>
        <v>0.50800000000000001</v>
      </c>
      <c r="O45" s="145">
        <f>'Ano 0 - Linha de Base'!D44</f>
        <v>21.6</v>
      </c>
      <c r="P45" s="146">
        <f>'Ano 0 - Linha de Base'!E44</f>
        <v>38.299999999999997</v>
      </c>
      <c r="Q45" s="146">
        <f>'Ano 0 - Linha de Base'!I44</f>
        <v>18</v>
      </c>
      <c r="R45" s="151">
        <f>'Ano 0 - Linha de Base'!J44</f>
        <v>0.50800000000000001</v>
      </c>
      <c r="T45" s="145">
        <f>'Ano 0 - Linha de Base'!D44</f>
        <v>21.6</v>
      </c>
      <c r="U45" s="146">
        <f>'Ano 0 - Linha de Base'!E44</f>
        <v>38.299999999999997</v>
      </c>
      <c r="V45" s="154">
        <f>'Ano 0 - Linha de Base'!I44</f>
        <v>18</v>
      </c>
      <c r="X45" s="162">
        <f>'Ano 0 - Linha de Base'!D44</f>
        <v>21.6</v>
      </c>
      <c r="Y45" s="162">
        <f>'Ano 0 - Linha de Base'!E44</f>
        <v>38.299999999999997</v>
      </c>
      <c r="Z45" s="162">
        <f>'Ano 0 - Linha de Base'!I44</f>
        <v>18</v>
      </c>
      <c r="AA45" s="233">
        <f>'Ano 0 - Linha de Base'!J44-('4.1d Dependência Temp-UR'!$C$6+'4.1d Dependência Temp-UR'!$C$7*'Ano 0 - Linha de Base'!I44)</f>
        <v>-4.5411280518900754E-2</v>
      </c>
      <c r="AC45" s="162">
        <f>'Ano 0 - Linha de Base'!D44</f>
        <v>21.6</v>
      </c>
      <c r="AD45" s="162">
        <f>'Ano 0 - Linha de Base'!E44</f>
        <v>38.299999999999997</v>
      </c>
      <c r="AE45" s="162">
        <f>'Ano 0 - Linha de Base'!J44</f>
        <v>0.50800000000000001</v>
      </c>
    </row>
    <row r="46" spans="2:31" x14ac:dyDescent="0.3">
      <c r="B46" s="140">
        <f>'Ano 0 - Linha de Base'!D45</f>
        <v>20.7</v>
      </c>
      <c r="C46" s="21">
        <f>'Ano 0 - Linha de Base'!E45</f>
        <v>38.200000000000003</v>
      </c>
      <c r="D46" s="21">
        <f>'Ano 0 - Linha de Base'!F45</f>
        <v>88.6</v>
      </c>
      <c r="E46" s="21">
        <f>'Ano 0 - Linha de Base'!G45</f>
        <v>11.5</v>
      </c>
      <c r="F46" s="21">
        <f>'Ano 0 - Linha de Base'!I45</f>
        <v>20</v>
      </c>
      <c r="G46" s="141">
        <f>'Ano 0 - Linha de Base'!J45</f>
        <v>0.58599999999999997</v>
      </c>
      <c r="I46" s="147">
        <f>'Ano 0 - Linha de Base'!D45</f>
        <v>20.7</v>
      </c>
      <c r="J46" s="148">
        <f>'Ano 0 - Linha de Base'!E45</f>
        <v>38.200000000000003</v>
      </c>
      <c r="K46" s="148">
        <f>'Ano 0 - Linha de Base'!G45</f>
        <v>11.5</v>
      </c>
      <c r="L46" s="148">
        <f>'Ano 0 - Linha de Base'!I45</f>
        <v>20</v>
      </c>
      <c r="M46" s="152">
        <f>'Ano 0 - Linha de Base'!J45</f>
        <v>0.58599999999999997</v>
      </c>
      <c r="O46" s="147">
        <f>'Ano 0 - Linha de Base'!D45</f>
        <v>20.7</v>
      </c>
      <c r="P46" s="148">
        <f>'Ano 0 - Linha de Base'!E45</f>
        <v>38.200000000000003</v>
      </c>
      <c r="Q46" s="148">
        <f>'Ano 0 - Linha de Base'!I45</f>
        <v>20</v>
      </c>
      <c r="R46" s="152">
        <f>'Ano 0 - Linha de Base'!J45</f>
        <v>0.58599999999999997</v>
      </c>
      <c r="T46" s="147">
        <f>'Ano 0 - Linha de Base'!D45</f>
        <v>20.7</v>
      </c>
      <c r="U46" s="148">
        <f>'Ano 0 - Linha de Base'!E45</f>
        <v>38.200000000000003</v>
      </c>
      <c r="V46" s="155">
        <f>'Ano 0 - Linha de Base'!I45</f>
        <v>20</v>
      </c>
      <c r="X46" s="162">
        <f>'Ano 0 - Linha de Base'!D45</f>
        <v>20.7</v>
      </c>
      <c r="Y46" s="162">
        <f>'Ano 0 - Linha de Base'!E45</f>
        <v>38.200000000000003</v>
      </c>
      <c r="Z46" s="162">
        <f>'Ano 0 - Linha de Base'!I45</f>
        <v>20</v>
      </c>
      <c r="AA46" s="233">
        <f>'Ano 0 - Linha de Base'!J45-('4.1d Dependência Temp-UR'!$C$6+'4.1d Dependência Temp-UR'!$C$7*'Ano 0 - Linha de Base'!I45)</f>
        <v>7.083491466730929E-3</v>
      </c>
      <c r="AC46" s="162">
        <f>'Ano 0 - Linha de Base'!D45</f>
        <v>20.7</v>
      </c>
      <c r="AD46" s="162">
        <f>'Ano 0 - Linha de Base'!E45</f>
        <v>38.200000000000003</v>
      </c>
      <c r="AE46" s="162">
        <f>'Ano 0 - Linha de Base'!J45</f>
        <v>0.58599999999999997</v>
      </c>
    </row>
    <row r="47" spans="2:31" x14ac:dyDescent="0.3">
      <c r="B47" s="140">
        <f>'Ano 0 - Linha de Base'!D46</f>
        <v>24.5</v>
      </c>
      <c r="C47" s="21">
        <f>'Ano 0 - Linha de Base'!E46</f>
        <v>35.4</v>
      </c>
      <c r="D47" s="21">
        <f>'Ano 0 - Linha de Base'!F46</f>
        <v>85.9</v>
      </c>
      <c r="E47" s="21">
        <f>'Ano 0 - Linha de Base'!G46</f>
        <v>11</v>
      </c>
      <c r="F47" s="21">
        <f>'Ano 0 - Linha de Base'!I46</f>
        <v>21.3</v>
      </c>
      <c r="G47" s="141">
        <f>'Ano 0 - Linha de Base'!J46</f>
        <v>0.60299999999999998</v>
      </c>
      <c r="I47" s="145">
        <f>'Ano 0 - Linha de Base'!D46</f>
        <v>24.5</v>
      </c>
      <c r="J47" s="146">
        <f>'Ano 0 - Linha de Base'!E46</f>
        <v>35.4</v>
      </c>
      <c r="K47" s="146">
        <f>'Ano 0 - Linha de Base'!G46</f>
        <v>11</v>
      </c>
      <c r="L47" s="146">
        <f>'Ano 0 - Linha de Base'!I46</f>
        <v>21.3</v>
      </c>
      <c r="M47" s="151">
        <f>'Ano 0 - Linha de Base'!J46</f>
        <v>0.60299999999999998</v>
      </c>
      <c r="O47" s="145">
        <f>'Ano 0 - Linha de Base'!D46</f>
        <v>24.5</v>
      </c>
      <c r="P47" s="146">
        <f>'Ano 0 - Linha de Base'!E46</f>
        <v>35.4</v>
      </c>
      <c r="Q47" s="146">
        <f>'Ano 0 - Linha de Base'!I46</f>
        <v>21.3</v>
      </c>
      <c r="R47" s="151">
        <f>'Ano 0 - Linha de Base'!J46</f>
        <v>0.60299999999999998</v>
      </c>
      <c r="T47" s="145">
        <f>'Ano 0 - Linha de Base'!D46</f>
        <v>24.5</v>
      </c>
      <c r="U47" s="146">
        <f>'Ano 0 - Linha de Base'!E46</f>
        <v>35.4</v>
      </c>
      <c r="V47" s="154">
        <f>'Ano 0 - Linha de Base'!I46</f>
        <v>21.3</v>
      </c>
      <c r="X47" s="162">
        <f>'Ano 0 - Linha de Base'!D46</f>
        <v>24.5</v>
      </c>
      <c r="Y47" s="162">
        <f>'Ano 0 - Linha de Base'!E46</f>
        <v>35.4</v>
      </c>
      <c r="Z47" s="162">
        <f>'Ano 0 - Linha de Base'!I46</f>
        <v>21.3</v>
      </c>
      <c r="AA47" s="233">
        <f>'Ano 0 - Linha de Base'!J46-('4.1d Dependência Temp-UR'!$C$6+'4.1d Dependência Temp-UR'!$C$7*'Ano 0 - Linha de Base'!I46)</f>
        <v>7.5050932573914597E-3</v>
      </c>
      <c r="AC47" s="162">
        <f>'Ano 0 - Linha de Base'!D46</f>
        <v>24.5</v>
      </c>
      <c r="AD47" s="162">
        <f>'Ano 0 - Linha de Base'!E46</f>
        <v>35.4</v>
      </c>
      <c r="AE47" s="162">
        <f>'Ano 0 - Linha de Base'!J46</f>
        <v>0.60299999999999998</v>
      </c>
    </row>
    <row r="48" spans="2:31" x14ac:dyDescent="0.3">
      <c r="B48" s="140">
        <f>'Ano 0 - Linha de Base'!D47</f>
        <v>21.6</v>
      </c>
      <c r="C48" s="21">
        <f>'Ano 0 - Linha de Base'!E47</f>
        <v>36.299999999999997</v>
      </c>
      <c r="D48" s="21">
        <f>'Ano 0 - Linha de Base'!F47</f>
        <v>81.3</v>
      </c>
      <c r="E48" s="21">
        <f>'Ano 0 - Linha de Base'!G47</f>
        <v>12.1</v>
      </c>
      <c r="F48" s="21">
        <f>'Ano 0 - Linha de Base'!I47</f>
        <v>21.7</v>
      </c>
      <c r="G48" s="141">
        <f>'Ano 0 - Linha de Base'!J47</f>
        <v>0.624</v>
      </c>
      <c r="I48" s="147">
        <f>'Ano 0 - Linha de Base'!D47</f>
        <v>21.6</v>
      </c>
      <c r="J48" s="148">
        <f>'Ano 0 - Linha de Base'!E47</f>
        <v>36.299999999999997</v>
      </c>
      <c r="K48" s="148">
        <f>'Ano 0 - Linha de Base'!G47</f>
        <v>12.1</v>
      </c>
      <c r="L48" s="148">
        <f>'Ano 0 - Linha de Base'!I47</f>
        <v>21.7</v>
      </c>
      <c r="M48" s="152">
        <f>'Ano 0 - Linha de Base'!J47</f>
        <v>0.624</v>
      </c>
      <c r="O48" s="147">
        <f>'Ano 0 - Linha de Base'!D47</f>
        <v>21.6</v>
      </c>
      <c r="P48" s="148">
        <f>'Ano 0 - Linha de Base'!E47</f>
        <v>36.299999999999997</v>
      </c>
      <c r="Q48" s="148">
        <f>'Ano 0 - Linha de Base'!I47</f>
        <v>21.7</v>
      </c>
      <c r="R48" s="152">
        <f>'Ano 0 - Linha de Base'!J47</f>
        <v>0.624</v>
      </c>
      <c r="T48" s="147">
        <f>'Ano 0 - Linha de Base'!D47</f>
        <v>21.6</v>
      </c>
      <c r="U48" s="148">
        <f>'Ano 0 - Linha de Base'!E47</f>
        <v>36.299999999999997</v>
      </c>
      <c r="V48" s="155">
        <f>'Ano 0 - Linha de Base'!I47</f>
        <v>21.7</v>
      </c>
      <c r="X48" s="162">
        <f>'Ano 0 - Linha de Base'!D47</f>
        <v>21.6</v>
      </c>
      <c r="Y48" s="162">
        <f>'Ano 0 - Linha de Base'!E47</f>
        <v>36.299999999999997</v>
      </c>
      <c r="Z48" s="162">
        <f>'Ano 0 - Linha de Base'!I47</f>
        <v>21.7</v>
      </c>
      <c r="AA48" s="233">
        <f>'Ano 0 - Linha de Base'!J47-('4.1d Dependência Temp-UR'!$C$6+'4.1d Dependência Temp-UR'!$C$7*'Ano 0 - Linha de Base'!I47)</f>
        <v>2.3404047654517868E-2</v>
      </c>
      <c r="AC48" s="162">
        <f>'Ano 0 - Linha de Base'!D47</f>
        <v>21.6</v>
      </c>
      <c r="AD48" s="162">
        <f>'Ano 0 - Linha de Base'!E47</f>
        <v>36.299999999999997</v>
      </c>
      <c r="AE48" s="162">
        <f>'Ano 0 - Linha de Base'!J47</f>
        <v>0.624</v>
      </c>
    </row>
    <row r="49" spans="2:31" x14ac:dyDescent="0.3">
      <c r="B49" s="140">
        <f>'Ano 0 - Linha de Base'!D48</f>
        <v>18.2</v>
      </c>
      <c r="C49" s="21">
        <f>'Ano 0 - Linha de Base'!E48</f>
        <v>39.5</v>
      </c>
      <c r="D49" s="21">
        <f>'Ano 0 - Linha de Base'!F48</f>
        <v>81.900000000000006</v>
      </c>
      <c r="E49" s="21">
        <f>'Ano 0 - Linha de Base'!G48</f>
        <v>10.4</v>
      </c>
      <c r="F49" s="21">
        <f>'Ano 0 - Linha de Base'!I48</f>
        <v>22.4</v>
      </c>
      <c r="G49" s="141">
        <f>'Ano 0 - Linha de Base'!J48</f>
        <v>0.57199999999999995</v>
      </c>
      <c r="I49" s="145">
        <f>'Ano 0 - Linha de Base'!D48</f>
        <v>18.2</v>
      </c>
      <c r="J49" s="146">
        <f>'Ano 0 - Linha de Base'!E48</f>
        <v>39.5</v>
      </c>
      <c r="K49" s="146">
        <f>'Ano 0 - Linha de Base'!G48</f>
        <v>10.4</v>
      </c>
      <c r="L49" s="146">
        <f>'Ano 0 - Linha de Base'!I48</f>
        <v>22.4</v>
      </c>
      <c r="M49" s="151">
        <f>'Ano 0 - Linha de Base'!J48</f>
        <v>0.57199999999999995</v>
      </c>
      <c r="O49" s="145">
        <f>'Ano 0 - Linha de Base'!D48</f>
        <v>18.2</v>
      </c>
      <c r="P49" s="146">
        <f>'Ano 0 - Linha de Base'!E48</f>
        <v>39.5</v>
      </c>
      <c r="Q49" s="146">
        <f>'Ano 0 - Linha de Base'!I48</f>
        <v>22.4</v>
      </c>
      <c r="R49" s="151">
        <f>'Ano 0 - Linha de Base'!J48</f>
        <v>0.57199999999999995</v>
      </c>
      <c r="T49" s="145">
        <f>'Ano 0 - Linha de Base'!D48</f>
        <v>18.2</v>
      </c>
      <c r="U49" s="146">
        <f>'Ano 0 - Linha de Base'!E48</f>
        <v>39.5</v>
      </c>
      <c r="V49" s="154">
        <f>'Ano 0 - Linha de Base'!I48</f>
        <v>22.4</v>
      </c>
      <c r="X49" s="162">
        <f>'Ano 0 - Linha de Base'!D48</f>
        <v>18.2</v>
      </c>
      <c r="Y49" s="162">
        <f>'Ano 0 - Linha de Base'!E48</f>
        <v>39.5</v>
      </c>
      <c r="Z49" s="162">
        <f>'Ano 0 - Linha de Base'!I48</f>
        <v>22.4</v>
      </c>
      <c r="AA49" s="233">
        <f>'Ano 0 - Linha de Base'!J48-('4.1d Dependência Temp-UR'!$C$6+'4.1d Dependência Temp-UR'!$C$7*'Ano 0 - Linha de Base'!I48)</f>
        <v>-3.752278215051108E-2</v>
      </c>
      <c r="AC49" s="162">
        <f>'Ano 0 - Linha de Base'!D48</f>
        <v>18.2</v>
      </c>
      <c r="AD49" s="162">
        <f>'Ano 0 - Linha de Base'!E48</f>
        <v>39.5</v>
      </c>
      <c r="AE49" s="162">
        <f>'Ano 0 - Linha de Base'!J48</f>
        <v>0.57199999999999995</v>
      </c>
    </row>
    <row r="50" spans="2:31" x14ac:dyDescent="0.3">
      <c r="B50" s="140">
        <f>'Ano 0 - Linha de Base'!D49</f>
        <v>21.8</v>
      </c>
      <c r="C50" s="21">
        <f>'Ano 0 - Linha de Base'!E49</f>
        <v>39.5</v>
      </c>
      <c r="D50" s="21">
        <f>'Ano 0 - Linha de Base'!F49</f>
        <v>77.5</v>
      </c>
      <c r="E50" s="21">
        <f>'Ano 0 - Linha de Base'!G49</f>
        <v>11.4</v>
      </c>
      <c r="F50" s="21">
        <f>'Ano 0 - Linha de Base'!I49</f>
        <v>23.2</v>
      </c>
      <c r="G50" s="141">
        <f>'Ano 0 - Linha de Base'!J49</f>
        <v>0.57899999999999996</v>
      </c>
      <c r="I50" s="147">
        <f>'Ano 0 - Linha de Base'!D49</f>
        <v>21.8</v>
      </c>
      <c r="J50" s="148">
        <f>'Ano 0 - Linha de Base'!E49</f>
        <v>39.5</v>
      </c>
      <c r="K50" s="148">
        <f>'Ano 0 - Linha de Base'!G49</f>
        <v>11.4</v>
      </c>
      <c r="L50" s="148">
        <f>'Ano 0 - Linha de Base'!I49</f>
        <v>23.2</v>
      </c>
      <c r="M50" s="152">
        <f>'Ano 0 - Linha de Base'!J49</f>
        <v>0.57899999999999996</v>
      </c>
      <c r="O50" s="147">
        <f>'Ano 0 - Linha de Base'!D49</f>
        <v>21.8</v>
      </c>
      <c r="P50" s="148">
        <f>'Ano 0 - Linha de Base'!E49</f>
        <v>39.5</v>
      </c>
      <c r="Q50" s="148">
        <f>'Ano 0 - Linha de Base'!I49</f>
        <v>23.2</v>
      </c>
      <c r="R50" s="152">
        <f>'Ano 0 - Linha de Base'!J49</f>
        <v>0.57899999999999996</v>
      </c>
      <c r="T50" s="147">
        <f>'Ano 0 - Linha de Base'!D49</f>
        <v>21.8</v>
      </c>
      <c r="U50" s="148">
        <f>'Ano 0 - Linha de Base'!E49</f>
        <v>39.5</v>
      </c>
      <c r="V50" s="155">
        <f>'Ano 0 - Linha de Base'!I49</f>
        <v>23.2</v>
      </c>
      <c r="X50" s="162">
        <f>'Ano 0 - Linha de Base'!D49</f>
        <v>21.8</v>
      </c>
      <c r="Y50" s="162">
        <f>'Ano 0 - Linha de Base'!E49</f>
        <v>39.5</v>
      </c>
      <c r="Z50" s="162">
        <f>'Ano 0 - Linha de Base'!I49</f>
        <v>23.2</v>
      </c>
      <c r="AA50" s="233">
        <f>'Ano 0 - Linha de Base'!J49-('4.1d Dependência Temp-UR'!$C$6+'4.1d Dependência Temp-UR'!$C$7*'Ano 0 - Linha de Base'!I49)</f>
        <v>-4.0724873356258406E-2</v>
      </c>
      <c r="AC50" s="162">
        <f>'Ano 0 - Linha de Base'!D49</f>
        <v>21.8</v>
      </c>
      <c r="AD50" s="162">
        <f>'Ano 0 - Linha de Base'!E49</f>
        <v>39.5</v>
      </c>
      <c r="AE50" s="162">
        <f>'Ano 0 - Linha de Base'!J49</f>
        <v>0.57899999999999996</v>
      </c>
    </row>
    <row r="51" spans="2:31" x14ac:dyDescent="0.3">
      <c r="B51" s="140">
        <f>'Ano 0 - Linha de Base'!D50</f>
        <v>23.8</v>
      </c>
      <c r="C51" s="21">
        <f>'Ano 0 - Linha de Base'!E50</f>
        <v>38.4</v>
      </c>
      <c r="D51" s="21">
        <f>'Ano 0 - Linha de Base'!F50</f>
        <v>81.900000000000006</v>
      </c>
      <c r="E51" s="21">
        <f>'Ano 0 - Linha de Base'!G50</f>
        <v>11.6</v>
      </c>
      <c r="F51" s="21">
        <f>'Ano 0 - Linha de Base'!I50</f>
        <v>23.1</v>
      </c>
      <c r="G51" s="141">
        <f>'Ano 0 - Linha de Base'!J50</f>
        <v>0.63300000000000001</v>
      </c>
      <c r="I51" s="145">
        <f>'Ano 0 - Linha de Base'!D50</f>
        <v>23.8</v>
      </c>
      <c r="J51" s="146">
        <f>'Ano 0 - Linha de Base'!E50</f>
        <v>38.4</v>
      </c>
      <c r="K51" s="146">
        <f>'Ano 0 - Linha de Base'!G50</f>
        <v>11.6</v>
      </c>
      <c r="L51" s="146">
        <f>'Ano 0 - Linha de Base'!I50</f>
        <v>23.1</v>
      </c>
      <c r="M51" s="151">
        <f>'Ano 0 - Linha de Base'!J50</f>
        <v>0.63300000000000001</v>
      </c>
      <c r="O51" s="145">
        <f>'Ano 0 - Linha de Base'!D50</f>
        <v>23.8</v>
      </c>
      <c r="P51" s="146">
        <f>'Ano 0 - Linha de Base'!E50</f>
        <v>38.4</v>
      </c>
      <c r="Q51" s="146">
        <f>'Ano 0 - Linha de Base'!I50</f>
        <v>23.1</v>
      </c>
      <c r="R51" s="151">
        <f>'Ano 0 - Linha de Base'!J50</f>
        <v>0.63300000000000001</v>
      </c>
      <c r="T51" s="145">
        <f>'Ano 0 - Linha de Base'!D50</f>
        <v>23.8</v>
      </c>
      <c r="U51" s="146">
        <f>'Ano 0 - Linha de Base'!E50</f>
        <v>38.4</v>
      </c>
      <c r="V51" s="154">
        <f>'Ano 0 - Linha de Base'!I50</f>
        <v>23.1</v>
      </c>
      <c r="X51" s="162">
        <f>'Ano 0 - Linha de Base'!D50</f>
        <v>23.8</v>
      </c>
      <c r="Y51" s="162">
        <f>'Ano 0 - Linha de Base'!E50</f>
        <v>38.4</v>
      </c>
      <c r="Z51" s="162">
        <f>'Ano 0 - Linha de Base'!I50</f>
        <v>23.1</v>
      </c>
      <c r="AA51" s="233">
        <f>'Ano 0 - Linha de Base'!J50-('4.1d Dependência Temp-UR'!$C$6+'4.1d Dependência Temp-UR'!$C$7*'Ano 0 - Linha de Base'!I50)</f>
        <v>1.4550388044459961E-2</v>
      </c>
      <c r="AC51" s="162">
        <f>'Ano 0 - Linha de Base'!D50</f>
        <v>23.8</v>
      </c>
      <c r="AD51" s="162">
        <f>'Ano 0 - Linha de Base'!E50</f>
        <v>38.4</v>
      </c>
      <c r="AE51" s="162">
        <f>'Ano 0 - Linha de Base'!J50</f>
        <v>0.63300000000000001</v>
      </c>
    </row>
    <row r="52" spans="2:31" x14ac:dyDescent="0.3">
      <c r="B52" s="140">
        <f>'Ano 0 - Linha de Base'!D51</f>
        <v>21.9</v>
      </c>
      <c r="C52" s="21">
        <f>'Ano 0 - Linha de Base'!E51</f>
        <v>39</v>
      </c>
      <c r="D52" s="21">
        <f>'Ano 0 - Linha de Base'!F51</f>
        <v>80.7</v>
      </c>
      <c r="E52" s="21">
        <f>'Ano 0 - Linha de Base'!G51</f>
        <v>12</v>
      </c>
      <c r="F52" s="21">
        <f>'Ano 0 - Linha de Base'!I51</f>
        <v>24.6</v>
      </c>
      <c r="G52" s="141">
        <f>'Ano 0 - Linha de Base'!J51</f>
        <v>0.64400000000000002</v>
      </c>
      <c r="I52" s="147">
        <f>'Ano 0 - Linha de Base'!D51</f>
        <v>21.9</v>
      </c>
      <c r="J52" s="148">
        <f>'Ano 0 - Linha de Base'!E51</f>
        <v>39</v>
      </c>
      <c r="K52" s="148">
        <f>'Ano 0 - Linha de Base'!G51</f>
        <v>12</v>
      </c>
      <c r="L52" s="148">
        <f>'Ano 0 - Linha de Base'!I51</f>
        <v>24.6</v>
      </c>
      <c r="M52" s="152">
        <f>'Ano 0 - Linha de Base'!J51</f>
        <v>0.64400000000000002</v>
      </c>
      <c r="O52" s="147">
        <f>'Ano 0 - Linha de Base'!D51</f>
        <v>21.9</v>
      </c>
      <c r="P52" s="148">
        <f>'Ano 0 - Linha de Base'!E51</f>
        <v>39</v>
      </c>
      <c r="Q52" s="148">
        <f>'Ano 0 - Linha de Base'!I51</f>
        <v>24.6</v>
      </c>
      <c r="R52" s="152">
        <f>'Ano 0 - Linha de Base'!J51</f>
        <v>0.64400000000000002</v>
      </c>
      <c r="T52" s="147">
        <f>'Ano 0 - Linha de Base'!D51</f>
        <v>21.9</v>
      </c>
      <c r="U52" s="148">
        <f>'Ano 0 - Linha de Base'!E51</f>
        <v>39</v>
      </c>
      <c r="V52" s="155">
        <f>'Ano 0 - Linha de Base'!I51</f>
        <v>24.6</v>
      </c>
      <c r="X52" s="162">
        <f>'Ano 0 - Linha de Base'!D51</f>
        <v>21.9</v>
      </c>
      <c r="Y52" s="162">
        <f>'Ano 0 - Linha de Base'!E51</f>
        <v>39</v>
      </c>
      <c r="Z52" s="162">
        <f>'Ano 0 - Linha de Base'!I51</f>
        <v>24.6</v>
      </c>
      <c r="AA52" s="233">
        <f>'Ano 0 - Linha de Base'!J51-('4.1d Dependência Temp-UR'!$C$6+'4.1d Dependência Temp-UR'!$C$7*'Ano 0 - Linha de Base'!I51)</f>
        <v>6.4214670336838475E-3</v>
      </c>
      <c r="AC52" s="162">
        <f>'Ano 0 - Linha de Base'!D51</f>
        <v>21.9</v>
      </c>
      <c r="AD52" s="162">
        <f>'Ano 0 - Linha de Base'!E51</f>
        <v>39</v>
      </c>
      <c r="AE52" s="162">
        <f>'Ano 0 - Linha de Base'!J51</f>
        <v>0.64400000000000002</v>
      </c>
    </row>
    <row r="53" spans="2:31" x14ac:dyDescent="0.3">
      <c r="B53" s="140">
        <f>'Ano 0 - Linha de Base'!D52</f>
        <v>17.399999999999999</v>
      </c>
      <c r="C53" s="21">
        <f>'Ano 0 - Linha de Base'!E52</f>
        <v>41.8</v>
      </c>
      <c r="D53" s="21">
        <f>'Ano 0 - Linha de Base'!F52</f>
        <v>83.5</v>
      </c>
      <c r="E53" s="21">
        <f>'Ano 0 - Linha de Base'!G52</f>
        <v>12.2</v>
      </c>
      <c r="F53" s="21">
        <f>'Ano 0 - Linha de Base'!I52</f>
        <v>25.6</v>
      </c>
      <c r="G53" s="141">
        <f>'Ano 0 - Linha de Base'!J52</f>
        <v>0.65500000000000003</v>
      </c>
      <c r="I53" s="145">
        <f>'Ano 0 - Linha de Base'!D52</f>
        <v>17.399999999999999</v>
      </c>
      <c r="J53" s="146">
        <f>'Ano 0 - Linha de Base'!E52</f>
        <v>41.8</v>
      </c>
      <c r="K53" s="146">
        <f>'Ano 0 - Linha de Base'!G52</f>
        <v>12.2</v>
      </c>
      <c r="L53" s="146">
        <f>'Ano 0 - Linha de Base'!I52</f>
        <v>25.6</v>
      </c>
      <c r="M53" s="151">
        <f>'Ano 0 - Linha de Base'!J52</f>
        <v>0.65500000000000003</v>
      </c>
      <c r="O53" s="145">
        <f>'Ano 0 - Linha de Base'!D52</f>
        <v>17.399999999999999</v>
      </c>
      <c r="P53" s="146">
        <f>'Ano 0 - Linha de Base'!E52</f>
        <v>41.8</v>
      </c>
      <c r="Q53" s="146">
        <f>'Ano 0 - Linha de Base'!I52</f>
        <v>25.6</v>
      </c>
      <c r="R53" s="151">
        <f>'Ano 0 - Linha de Base'!J52</f>
        <v>0.65500000000000003</v>
      </c>
      <c r="T53" s="145">
        <f>'Ano 0 - Linha de Base'!D52</f>
        <v>17.399999999999999</v>
      </c>
      <c r="U53" s="146">
        <f>'Ano 0 - Linha de Base'!E52</f>
        <v>41.8</v>
      </c>
      <c r="V53" s="154">
        <f>'Ano 0 - Linha de Base'!I52</f>
        <v>25.6</v>
      </c>
      <c r="X53" s="162">
        <f>'Ano 0 - Linha de Base'!D52</f>
        <v>17.399999999999999</v>
      </c>
      <c r="Y53" s="162">
        <f>'Ano 0 - Linha de Base'!E52</f>
        <v>41.8</v>
      </c>
      <c r="Z53" s="162">
        <f>'Ano 0 - Linha de Base'!I52</f>
        <v>25.6</v>
      </c>
      <c r="AA53" s="233">
        <f>'Ano 0 - Linha de Base'!J52-('4.1d Dependência Temp-UR'!$C$6+'4.1d Dependência Temp-UR'!$C$7*'Ano 0 - Linha de Base'!I52)</f>
        <v>4.6688530264996642E-3</v>
      </c>
      <c r="AC53" s="162">
        <f>'Ano 0 - Linha de Base'!D52</f>
        <v>17.399999999999999</v>
      </c>
      <c r="AD53" s="162">
        <f>'Ano 0 - Linha de Base'!E52</f>
        <v>41.8</v>
      </c>
      <c r="AE53" s="162">
        <f>'Ano 0 - Linha de Base'!J52</f>
        <v>0.65500000000000003</v>
      </c>
    </row>
    <row r="54" spans="2:31" x14ac:dyDescent="0.3">
      <c r="B54" s="140">
        <f>'Ano 0 - Linha de Base'!D53</f>
        <v>19.600000000000001</v>
      </c>
      <c r="C54" s="21">
        <f>'Ano 0 - Linha de Base'!E53</f>
        <v>37.9</v>
      </c>
      <c r="D54" s="21">
        <f>'Ano 0 - Linha de Base'!F53</f>
        <v>78.3</v>
      </c>
      <c r="E54" s="21">
        <f>'Ano 0 - Linha de Base'!G53</f>
        <v>10.4</v>
      </c>
      <c r="F54" s="21">
        <f>'Ano 0 - Linha de Base'!I53</f>
        <v>27.6</v>
      </c>
      <c r="G54" s="141">
        <f>'Ano 0 - Linha de Base'!J53</f>
        <v>0.68200000000000005</v>
      </c>
      <c r="I54" s="147">
        <f>'Ano 0 - Linha de Base'!D53</f>
        <v>19.600000000000001</v>
      </c>
      <c r="J54" s="148">
        <f>'Ano 0 - Linha de Base'!E53</f>
        <v>37.9</v>
      </c>
      <c r="K54" s="148">
        <f>'Ano 0 - Linha de Base'!G53</f>
        <v>10.4</v>
      </c>
      <c r="L54" s="148">
        <f>'Ano 0 - Linha de Base'!I53</f>
        <v>27.6</v>
      </c>
      <c r="M54" s="152">
        <f>'Ano 0 - Linha de Base'!J53</f>
        <v>0.68200000000000005</v>
      </c>
      <c r="O54" s="147">
        <f>'Ano 0 - Linha de Base'!D53</f>
        <v>19.600000000000001</v>
      </c>
      <c r="P54" s="148">
        <f>'Ano 0 - Linha de Base'!E53</f>
        <v>37.9</v>
      </c>
      <c r="Q54" s="148">
        <f>'Ano 0 - Linha de Base'!I53</f>
        <v>27.6</v>
      </c>
      <c r="R54" s="152">
        <f>'Ano 0 - Linha de Base'!J53</f>
        <v>0.68200000000000005</v>
      </c>
      <c r="T54" s="147">
        <f>'Ano 0 - Linha de Base'!D53</f>
        <v>19.600000000000001</v>
      </c>
      <c r="U54" s="148">
        <f>'Ano 0 - Linha de Base'!E53</f>
        <v>37.9</v>
      </c>
      <c r="V54" s="155">
        <f>'Ano 0 - Linha de Base'!I53</f>
        <v>27.6</v>
      </c>
      <c r="X54" s="162">
        <f>'Ano 0 - Linha de Base'!D53</f>
        <v>19.600000000000001</v>
      </c>
      <c r="Y54" s="162">
        <f>'Ano 0 - Linha de Base'!E53</f>
        <v>37.9</v>
      </c>
      <c r="Z54" s="162">
        <f>'Ano 0 - Linha de Base'!I53</f>
        <v>27.6</v>
      </c>
      <c r="AA54" s="233">
        <f>'Ano 0 - Linha de Base'!J53-('4.1d Dependência Temp-UR'!$C$6+'4.1d Dependência Temp-UR'!$C$7*'Ano 0 - Linha de Base'!I53)</f>
        <v>6.1636250121314129E-3</v>
      </c>
      <c r="AC54" s="162">
        <f>'Ano 0 - Linha de Base'!D53</f>
        <v>19.600000000000001</v>
      </c>
      <c r="AD54" s="162">
        <f>'Ano 0 - Linha de Base'!E53</f>
        <v>37.9</v>
      </c>
      <c r="AE54" s="162">
        <f>'Ano 0 - Linha de Base'!J53</f>
        <v>0.68200000000000005</v>
      </c>
    </row>
    <row r="55" spans="2:31" x14ac:dyDescent="0.3">
      <c r="B55" s="140">
        <f>'Ano 0 - Linha de Base'!D54</f>
        <v>23.1</v>
      </c>
      <c r="C55" s="21">
        <f>'Ano 0 - Linha de Base'!E54</f>
        <v>40.5</v>
      </c>
      <c r="D55" s="21">
        <f>'Ano 0 - Linha de Base'!F54</f>
        <v>84.3</v>
      </c>
      <c r="E55" s="21">
        <f>'Ano 0 - Linha de Base'!G54</f>
        <v>10</v>
      </c>
      <c r="F55" s="21">
        <f>'Ano 0 - Linha de Base'!I54</f>
        <v>27.7</v>
      </c>
      <c r="G55" s="141">
        <f>'Ano 0 - Linha de Base'!J54</f>
        <v>0.65200000000000002</v>
      </c>
      <c r="I55" s="145">
        <f>'Ano 0 - Linha de Base'!D54</f>
        <v>23.1</v>
      </c>
      <c r="J55" s="146">
        <f>'Ano 0 - Linha de Base'!E54</f>
        <v>40.5</v>
      </c>
      <c r="K55" s="146">
        <f>'Ano 0 - Linha de Base'!G54</f>
        <v>10</v>
      </c>
      <c r="L55" s="146">
        <f>'Ano 0 - Linha de Base'!I54</f>
        <v>27.7</v>
      </c>
      <c r="M55" s="151">
        <f>'Ano 0 - Linha de Base'!J54</f>
        <v>0.65200000000000002</v>
      </c>
      <c r="O55" s="145">
        <f>'Ano 0 - Linha de Base'!D54</f>
        <v>23.1</v>
      </c>
      <c r="P55" s="146">
        <f>'Ano 0 - Linha de Base'!E54</f>
        <v>40.5</v>
      </c>
      <c r="Q55" s="146">
        <f>'Ano 0 - Linha de Base'!I54</f>
        <v>27.7</v>
      </c>
      <c r="R55" s="151">
        <f>'Ano 0 - Linha de Base'!J54</f>
        <v>0.65200000000000002</v>
      </c>
      <c r="T55" s="145">
        <f>'Ano 0 - Linha de Base'!D54</f>
        <v>23.1</v>
      </c>
      <c r="U55" s="146">
        <f>'Ano 0 - Linha de Base'!E54</f>
        <v>40.5</v>
      </c>
      <c r="V55" s="154">
        <f>'Ano 0 - Linha de Base'!I54</f>
        <v>27.7</v>
      </c>
      <c r="X55" s="162">
        <f>'Ano 0 - Linha de Base'!D54</f>
        <v>23.1</v>
      </c>
      <c r="Y55" s="162">
        <f>'Ano 0 - Linha de Base'!E54</f>
        <v>40.5</v>
      </c>
      <c r="Z55" s="162">
        <f>'Ano 0 - Linha de Base'!I54</f>
        <v>27.7</v>
      </c>
      <c r="AA55" s="233">
        <f>'Ano 0 - Linha de Base'!J54-('4.1d Dependência Temp-UR'!$C$6+'4.1d Dependência Temp-UR'!$C$7*'Ano 0 - Linha de Base'!I54)</f>
        <v>-2.5111636388587044E-2</v>
      </c>
      <c r="AC55" s="162">
        <f>'Ano 0 - Linha de Base'!D54</f>
        <v>23.1</v>
      </c>
      <c r="AD55" s="162">
        <f>'Ano 0 - Linha de Base'!E54</f>
        <v>40.5</v>
      </c>
      <c r="AE55" s="162">
        <f>'Ano 0 - Linha de Base'!J54</f>
        <v>0.65200000000000002</v>
      </c>
    </row>
    <row r="56" spans="2:31" x14ac:dyDescent="0.3">
      <c r="B56" s="140">
        <f>'Ano 0 - Linha de Base'!D55</f>
        <v>20.100000000000001</v>
      </c>
      <c r="C56" s="21">
        <f>'Ano 0 - Linha de Base'!E55</f>
        <v>39</v>
      </c>
      <c r="D56" s="21">
        <f>'Ano 0 - Linha de Base'!F55</f>
        <v>88.9</v>
      </c>
      <c r="E56" s="21">
        <f>'Ano 0 - Linha de Base'!G55</f>
        <v>12.8</v>
      </c>
      <c r="F56" s="21">
        <f>'Ano 0 - Linha de Base'!I55</f>
        <v>26.7</v>
      </c>
      <c r="G56" s="141">
        <f>'Ano 0 - Linha de Base'!J55</f>
        <v>0.66700000000000004</v>
      </c>
      <c r="I56" s="147">
        <f>'Ano 0 - Linha de Base'!D55</f>
        <v>20.100000000000001</v>
      </c>
      <c r="J56" s="148">
        <f>'Ano 0 - Linha de Base'!E55</f>
        <v>39</v>
      </c>
      <c r="K56" s="148">
        <f>'Ano 0 - Linha de Base'!G55</f>
        <v>12.8</v>
      </c>
      <c r="L56" s="148">
        <f>'Ano 0 - Linha de Base'!I55</f>
        <v>26.7</v>
      </c>
      <c r="M56" s="152">
        <f>'Ano 0 - Linha de Base'!J55</f>
        <v>0.66700000000000004</v>
      </c>
      <c r="O56" s="147">
        <f>'Ano 0 - Linha de Base'!D55</f>
        <v>20.100000000000001</v>
      </c>
      <c r="P56" s="148">
        <f>'Ano 0 - Linha de Base'!E55</f>
        <v>39</v>
      </c>
      <c r="Q56" s="148">
        <f>'Ano 0 - Linha de Base'!I55</f>
        <v>26.7</v>
      </c>
      <c r="R56" s="152">
        <f>'Ano 0 - Linha de Base'!J55</f>
        <v>0.66700000000000004</v>
      </c>
      <c r="T56" s="147">
        <f>'Ano 0 - Linha de Base'!D55</f>
        <v>20.100000000000001</v>
      </c>
      <c r="U56" s="148">
        <f>'Ano 0 - Linha de Base'!E55</f>
        <v>39</v>
      </c>
      <c r="V56" s="155">
        <f>'Ano 0 - Linha de Base'!I55</f>
        <v>26.7</v>
      </c>
      <c r="X56" s="162">
        <f>'Ano 0 - Linha de Base'!D55</f>
        <v>20.100000000000001</v>
      </c>
      <c r="Y56" s="162">
        <f>'Ano 0 - Linha de Base'!E55</f>
        <v>39</v>
      </c>
      <c r="Z56" s="162">
        <f>'Ano 0 - Linha de Base'!I55</f>
        <v>26.7</v>
      </c>
      <c r="AA56" s="233">
        <f>'Ano 0 - Linha de Base'!J55-('4.1d Dependência Temp-UR'!$C$6+'4.1d Dependência Temp-UR'!$C$7*'Ano 0 - Linha de Base'!I55)</f>
        <v>2.6409776185971623E-3</v>
      </c>
      <c r="AC56" s="162">
        <f>'Ano 0 - Linha de Base'!D55</f>
        <v>20.100000000000001</v>
      </c>
      <c r="AD56" s="162">
        <f>'Ano 0 - Linha de Base'!E55</f>
        <v>39</v>
      </c>
      <c r="AE56" s="162">
        <f>'Ano 0 - Linha de Base'!J55</f>
        <v>0.66700000000000004</v>
      </c>
    </row>
    <row r="57" spans="2:31" x14ac:dyDescent="0.3">
      <c r="B57" s="140">
        <f>'Ano 0 - Linha de Base'!D56</f>
        <v>22.7</v>
      </c>
      <c r="C57" s="21">
        <f>'Ano 0 - Linha de Base'!E56</f>
        <v>39</v>
      </c>
      <c r="D57" s="21">
        <f>'Ano 0 - Linha de Base'!F56</f>
        <v>81.5</v>
      </c>
      <c r="E57" s="21">
        <f>'Ano 0 - Linha de Base'!G56</f>
        <v>11.8</v>
      </c>
      <c r="F57" s="21">
        <f>'Ano 0 - Linha de Base'!I56</f>
        <v>28.9</v>
      </c>
      <c r="G57" s="141">
        <f>'Ano 0 - Linha de Base'!J56</f>
        <v>0.69599999999999995</v>
      </c>
      <c r="I57" s="145">
        <f>'Ano 0 - Linha de Base'!D56</f>
        <v>22.7</v>
      </c>
      <c r="J57" s="146">
        <f>'Ano 0 - Linha de Base'!E56</f>
        <v>39</v>
      </c>
      <c r="K57" s="146">
        <f>'Ano 0 - Linha de Base'!G56</f>
        <v>11.8</v>
      </c>
      <c r="L57" s="146">
        <f>'Ano 0 - Linha de Base'!I56</f>
        <v>28.9</v>
      </c>
      <c r="M57" s="151">
        <f>'Ano 0 - Linha de Base'!J56</f>
        <v>0.69599999999999995</v>
      </c>
      <c r="O57" s="145">
        <f>'Ano 0 - Linha de Base'!D56</f>
        <v>22.7</v>
      </c>
      <c r="P57" s="146">
        <f>'Ano 0 - Linha de Base'!E56</f>
        <v>39</v>
      </c>
      <c r="Q57" s="146">
        <f>'Ano 0 - Linha de Base'!I56</f>
        <v>28.9</v>
      </c>
      <c r="R57" s="151">
        <f>'Ano 0 - Linha de Base'!J56</f>
        <v>0.69599999999999995</v>
      </c>
      <c r="T57" s="145">
        <f>'Ano 0 - Linha de Base'!D56</f>
        <v>22.7</v>
      </c>
      <c r="U57" s="146">
        <f>'Ano 0 - Linha de Base'!E56</f>
        <v>39</v>
      </c>
      <c r="V57" s="154">
        <f>'Ano 0 - Linha de Base'!I56</f>
        <v>28.9</v>
      </c>
      <c r="X57" s="162">
        <f>'Ano 0 - Linha de Base'!D56</f>
        <v>22.7</v>
      </c>
      <c r="Y57" s="162">
        <f>'Ano 0 - Linha de Base'!E56</f>
        <v>39</v>
      </c>
      <c r="Z57" s="162">
        <f>'Ano 0 - Linha de Base'!I56</f>
        <v>28.9</v>
      </c>
      <c r="AA57" s="233">
        <f>'Ano 0 - Linha de Base'!J56-('4.1d Dependência Temp-UR'!$C$6+'4.1d Dependência Temp-UR'!$C$7*'Ano 0 - Linha de Base'!I56)</f>
        <v>3.5852268027919409E-3</v>
      </c>
      <c r="AC57" s="162">
        <f>'Ano 0 - Linha de Base'!D56</f>
        <v>22.7</v>
      </c>
      <c r="AD57" s="162">
        <f>'Ano 0 - Linha de Base'!E56</f>
        <v>39</v>
      </c>
      <c r="AE57" s="162">
        <f>'Ano 0 - Linha de Base'!J56</f>
        <v>0.69599999999999995</v>
      </c>
    </row>
    <row r="58" spans="2:31" ht="15" customHeight="1" thickBot="1" x14ac:dyDescent="0.35">
      <c r="B58" s="142">
        <f>'Ano 0 - Linha de Base'!D57</f>
        <v>23.9</v>
      </c>
      <c r="C58" s="143">
        <f>'Ano 0 - Linha de Base'!E57</f>
        <v>41.9</v>
      </c>
      <c r="D58" s="143">
        <f>'Ano 0 - Linha de Base'!F57</f>
        <v>83.8</v>
      </c>
      <c r="E58" s="143">
        <f>'Ano 0 - Linha de Base'!G57</f>
        <v>10.8</v>
      </c>
      <c r="F58" s="143">
        <f>'Ano 0 - Linha de Base'!I57</f>
        <v>28.8</v>
      </c>
      <c r="G58" s="144">
        <f>'Ano 0 - Linha de Base'!J57</f>
        <v>0.66400000000000003</v>
      </c>
      <c r="I58" s="149">
        <f>'Ano 0 - Linha de Base'!D57</f>
        <v>23.9</v>
      </c>
      <c r="J58" s="150">
        <f>'Ano 0 - Linha de Base'!E57</f>
        <v>41.9</v>
      </c>
      <c r="K58" s="150">
        <f>'Ano 0 - Linha de Base'!G57</f>
        <v>10.8</v>
      </c>
      <c r="L58" s="150">
        <f>'Ano 0 - Linha de Base'!I57</f>
        <v>28.8</v>
      </c>
      <c r="M58" s="153">
        <f>'Ano 0 - Linha de Base'!J57</f>
        <v>0.66400000000000003</v>
      </c>
      <c r="O58" s="149">
        <f>'Ano 0 - Linha de Base'!D57</f>
        <v>23.9</v>
      </c>
      <c r="P58" s="150">
        <f>'Ano 0 - Linha de Base'!E57</f>
        <v>41.9</v>
      </c>
      <c r="Q58" s="150">
        <f>'Ano 0 - Linha de Base'!I57</f>
        <v>28.8</v>
      </c>
      <c r="R58" s="153">
        <f>'Ano 0 - Linha de Base'!J57</f>
        <v>0.66400000000000003</v>
      </c>
      <c r="T58" s="149">
        <f>'Ano 0 - Linha de Base'!D57</f>
        <v>23.9</v>
      </c>
      <c r="U58" s="150">
        <f>'Ano 0 - Linha de Base'!E57</f>
        <v>41.9</v>
      </c>
      <c r="V58" s="156">
        <f>'Ano 0 - Linha de Base'!I57</f>
        <v>28.8</v>
      </c>
      <c r="X58" s="162">
        <f>'Ano 0 - Linha de Base'!D57</f>
        <v>23.9</v>
      </c>
      <c r="Y58" s="162">
        <f>'Ano 0 - Linha de Base'!E57</f>
        <v>41.9</v>
      </c>
      <c r="Z58" s="162">
        <f>'Ano 0 - Linha de Base'!I57</f>
        <v>28.8</v>
      </c>
      <c r="AA58" s="233">
        <f>'Ano 0 - Linha de Base'!J57-('4.1d Dependência Temp-UR'!$C$6+'4.1d Dependência Temp-UR'!$C$7*'Ano 0 - Linha de Base'!I57)</f>
        <v>-2.7139511796489546E-2</v>
      </c>
      <c r="AC58" s="162">
        <f>'Ano 0 - Linha de Base'!D57</f>
        <v>23.9</v>
      </c>
      <c r="AD58" s="162">
        <f>'Ano 0 - Linha de Base'!E57</f>
        <v>41.9</v>
      </c>
      <c r="AE58" s="162">
        <f>'Ano 0 - Linha de Base'!J57</f>
        <v>0.66400000000000003</v>
      </c>
    </row>
  </sheetData>
  <mergeCells count="6">
    <mergeCell ref="T5:V5"/>
    <mergeCell ref="B5:G5"/>
    <mergeCell ref="B2:V2"/>
    <mergeCell ref="B3:V3"/>
    <mergeCell ref="O5:R5"/>
    <mergeCell ref="I5:M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</vt:i4>
      </vt:variant>
    </vt:vector>
  </HeadingPairs>
  <TitlesOfParts>
    <vt:vector size="14" baseType="lpstr">
      <vt:lpstr>Resumo</vt:lpstr>
      <vt:lpstr>Ano 0 - Linha de Base</vt:lpstr>
      <vt:lpstr>Ano 1 - Pós-AEE</vt:lpstr>
      <vt:lpstr>4.1a Correlação</vt:lpstr>
      <vt:lpstr>4.1b Seleção</vt:lpstr>
      <vt:lpstr>4.1c Parsimônia</vt:lpstr>
      <vt:lpstr>4.1d Dependência Temp-UR</vt:lpstr>
      <vt:lpstr>4.2a Regressão Completa</vt:lpstr>
      <vt:lpstr>4.2b Filtragem</vt:lpstr>
      <vt:lpstr>4.2c Modelo Final</vt:lpstr>
      <vt:lpstr>4.3 Economia Evitada</vt:lpstr>
      <vt:lpstr>4.4 ANR</vt:lpstr>
      <vt:lpstr>Aux_X</vt:lpstr>
      <vt:lpstr>alfa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Dilsonei Rigotti</cp:lastModifiedBy>
  <cp:revision>1</cp:revision>
  <dcterms:created xsi:type="dcterms:W3CDTF">2026-09-28T17:41:31Z</dcterms:created>
  <dcterms:modified xsi:type="dcterms:W3CDTF">2026-10-05T18:50:42Z</dcterms:modified>
  <dc:language>en-US</dc:language>
</cp:coreProperties>
</file>